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AUTOVersigent\"/>
    </mc:Choice>
  </mc:AlternateContent>
  <xr:revisionPtr revIDLastSave="0" documentId="13_ncr:1_{666D4284-B2EC-4B2F-A29D-C969C54AB8E9}" xr6:coauthVersionLast="47" xr6:coauthVersionMax="47" xr10:uidLastSave="{00000000-0000-0000-0000-000000000000}"/>
  <bookViews>
    <workbookView xWindow="-110" yWindow="-110" windowWidth="19420" windowHeight="10300" activeTab="1" xr2:uid="{C83DA519-2683-410D-A185-7DF0C6F26230}"/>
  </bookViews>
  <sheets>
    <sheet name="Current state" sheetId="1" r:id="rId1"/>
    <sheet name="Characteristics" sheetId="5" r:id="rId2"/>
  </sheets>
  <calcPr calcId="191028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8" i="5"/>
  <c r="J13" i="5"/>
  <c r="B13" i="5"/>
  <c r="B12" i="5"/>
  <c r="J10" i="5"/>
  <c r="B10" i="5"/>
  <c r="F9" i="5"/>
  <c r="B9" i="5"/>
  <c r="J8" i="5"/>
  <c r="F8" i="5"/>
  <c r="J7" i="5"/>
  <c r="F7" i="5"/>
  <c r="J6" i="5"/>
  <c r="F6" i="5"/>
  <c r="B6" i="5"/>
  <c r="J5" i="5"/>
  <c r="F5" i="5"/>
  <c r="B5" i="5"/>
  <c r="J4" i="5"/>
  <c r="F4" i="5"/>
  <c r="B4" i="5"/>
  <c r="F3" i="5"/>
  <c r="B3" i="5"/>
  <c r="F2" i="5"/>
  <c r="B2" i="5"/>
</calcChain>
</file>

<file path=xl/sharedStrings.xml><?xml version="1.0" encoding="utf-8"?>
<sst xmlns="http://schemas.openxmlformats.org/spreadsheetml/2006/main" count="293" uniqueCount="126">
  <si>
    <t xml:space="preserve">VALUE STREAME MAP </t>
  </si>
  <si>
    <t>Process name :</t>
  </si>
  <si>
    <t xml:space="preserve">        Lead Prep</t>
  </si>
  <si>
    <t xml:space="preserve">VSM tools and econs </t>
  </si>
  <si>
    <t>Electronic info flow</t>
  </si>
  <si>
    <t xml:space="preserve">Finished goods arrow </t>
  </si>
  <si>
    <t>Curent state Data Box</t>
  </si>
  <si>
    <t>Futur state Data Box</t>
  </si>
  <si>
    <t>Data Box</t>
  </si>
  <si>
    <t>Rework activity</t>
  </si>
  <si>
    <t>Process box</t>
  </si>
  <si>
    <t xml:space="preserve">Multiple machine </t>
  </si>
  <si>
    <t>Shared Resource</t>
  </si>
  <si>
    <t xml:space="preserve">Poroduction control </t>
  </si>
  <si>
    <t xml:space="preserve">Pull </t>
  </si>
  <si>
    <t>Work Cell</t>
  </si>
  <si>
    <t>Truck</t>
  </si>
  <si>
    <t>Supermarket (kanban)</t>
  </si>
  <si>
    <t>FIFO</t>
  </si>
  <si>
    <t>Buffer or Safety Stock</t>
  </si>
  <si>
    <t>Conveyer</t>
  </si>
  <si>
    <t>Pitch</t>
  </si>
  <si>
    <t>Forklift</t>
  </si>
  <si>
    <t>Tugger</t>
  </si>
  <si>
    <t xml:space="preserve">Email </t>
  </si>
  <si>
    <t>Fax</t>
  </si>
  <si>
    <t>Information box</t>
  </si>
  <si>
    <t>Withdrawal Kanban</t>
  </si>
  <si>
    <t xml:space="preserve">Production kanban in batch </t>
  </si>
  <si>
    <t>Withdrawal Kanban in batch</t>
  </si>
  <si>
    <t xml:space="preserve">Production Kanban </t>
  </si>
  <si>
    <t>Signal Kanban</t>
  </si>
  <si>
    <t>Load Leveling Box</t>
  </si>
  <si>
    <t>Sequence List</t>
  </si>
  <si>
    <t xml:space="preserve">Sequence Pull Ball </t>
  </si>
  <si>
    <t>Kanban Post</t>
  </si>
  <si>
    <t>Go see schedule</t>
  </si>
  <si>
    <t>Kaizen Burst</t>
  </si>
  <si>
    <t xml:space="preserve">Inventory </t>
  </si>
  <si>
    <t>CT</t>
  </si>
  <si>
    <t>PT</t>
  </si>
  <si>
    <t>CO</t>
  </si>
  <si>
    <t>UT</t>
  </si>
  <si>
    <t>Qlty</t>
  </si>
  <si>
    <t>shift nmbr</t>
  </si>
  <si>
    <t>00:00:00:00</t>
  </si>
  <si>
    <t>— manquant : Qttes ok/nok requises</t>
  </si>
  <si>
    <t>CONTENTION</t>
  </si>
  <si>
    <t>RAYCHEM</t>
  </si>
  <si>
    <t>HANK</t>
  </si>
  <si>
    <t>PASSE-FIL</t>
  </si>
  <si>
    <t>KAPPA</t>
  </si>
  <si>
    <t>SEAL INSERTION</t>
  </si>
  <si>
    <t>— manquant : Tps ouverture requis</t>
  </si>
  <si>
    <t>00:00:02:61  =  2.62 sec/pce</t>
  </si>
  <si>
    <t>DENIFER</t>
  </si>
  <si>
    <t>00:00:10:96  =  10.97 sec/pce</t>
  </si>
  <si>
    <t>00:13:49:40</t>
  </si>
  <si>
    <t>00:00:08:54  =  8.54 sec/pce</t>
  </si>
  <si>
    <t>00:00:12:87  =  12.87 sec/pce</t>
  </si>
  <si>
    <t>00:02:34:90</t>
  </si>
  <si>
    <t>00:00:01:76  =  1.76 sec/pce</t>
  </si>
  <si>
    <t>00:00:16:10  =  16.11 sec/pce</t>
  </si>
  <si>
    <t>00:00:14:48  =  14.49 sec/pce</t>
  </si>
  <si>
    <t>00:00:10  =  10.97 sec/pce</t>
  </si>
  <si>
    <t>00:00:08  =  8.54 sec/pce</t>
  </si>
  <si>
    <t>00:00:12  =  12.87 sec/pce</t>
  </si>
  <si>
    <t>00:00:02  =  2.62 sec/pce</t>
  </si>
  <si>
    <t>00:00:01  =  1.76 sec/pce</t>
  </si>
  <si>
    <t>00:00:16  =  16.11 sec/pce</t>
  </si>
  <si>
    <t>00:00:14  =  14.49 sec/pce</t>
  </si>
  <si>
    <t xml:space="preserve">Machines     </t>
  </si>
  <si>
    <t xml:space="preserve">REAL Produced wires / 1 shift </t>
  </si>
  <si>
    <t>Machines</t>
  </si>
  <si>
    <t>WIP (wires)</t>
  </si>
  <si>
    <t xml:space="preserve">Machine </t>
  </si>
  <si>
    <t xml:space="preserve">Nbre de machines </t>
  </si>
  <si>
    <t>wires/ hour</t>
  </si>
  <si>
    <t xml:space="preserve">Plant properties </t>
  </si>
  <si>
    <t>Values</t>
  </si>
  <si>
    <t>units</t>
  </si>
  <si>
    <t xml:space="preserve">HANK  </t>
  </si>
  <si>
    <t xml:space="preserve">Kappa </t>
  </si>
  <si>
    <t>Shifts number</t>
  </si>
  <si>
    <t>MECAL</t>
  </si>
  <si>
    <t>ELOPAR</t>
  </si>
  <si>
    <t xml:space="preserve">Komax 560 </t>
  </si>
  <si>
    <t>Working hours / 1 shift</t>
  </si>
  <si>
    <t>(h)</t>
  </si>
  <si>
    <t xml:space="preserve">ELOPAR </t>
  </si>
  <si>
    <t>Elopar</t>
  </si>
  <si>
    <t>Working days / week</t>
  </si>
  <si>
    <t xml:space="preserve">(days) </t>
  </si>
  <si>
    <t>Raychem / Micalbi</t>
  </si>
  <si>
    <t xml:space="preserve">demand </t>
  </si>
  <si>
    <t>(cables/ semaine)</t>
  </si>
  <si>
    <t>Dinefer</t>
  </si>
  <si>
    <t>KOMAX 560</t>
  </si>
  <si>
    <t>Hanke</t>
  </si>
  <si>
    <t>Seal insertion</t>
  </si>
  <si>
    <t>Passe - fil</t>
  </si>
  <si>
    <t xml:space="preserve">Contention </t>
  </si>
  <si>
    <t>Mecal (excluding R)</t>
  </si>
  <si>
    <t>BT 722</t>
  </si>
  <si>
    <t>BT 752</t>
  </si>
  <si>
    <t xml:space="preserve">  average pagode capacity (1 aval /0 amont)</t>
  </si>
  <si>
    <t xml:space="preserve">Filled reports by operators / 1 shift </t>
  </si>
  <si>
    <t xml:space="preserve">poste characteristics </t>
  </si>
  <si>
    <t>NVA</t>
  </si>
  <si>
    <t>VA</t>
  </si>
  <si>
    <t>91.20 s</t>
  </si>
  <si>
    <t>POURCENTAGE (%) OF WAISTED TIME</t>
  </si>
  <si>
    <t>117335.00 s</t>
  </si>
  <si>
    <t>00:00:04  =  4.19 sec/pce</t>
  </si>
  <si>
    <t>00:00:04:18  =  4.19 sec/pce</t>
  </si>
  <si>
    <t>00:00:04  =  4.26 sec/pce</t>
  </si>
  <si>
    <t>00:00:04:26  =  4.26 sec/pce</t>
  </si>
  <si>
    <t>00:00:04  =  4.95 sec/pce</t>
  </si>
  <si>
    <t>00:00:04:95  =  4.95 sec/pce</t>
  </si>
  <si>
    <t>00:09:37:54</t>
  </si>
  <si>
    <t>69832.00 s</t>
  </si>
  <si>
    <t>24.70 s</t>
  </si>
  <si>
    <t>75256.00 s</t>
  </si>
  <si>
    <t>34.67 s</t>
  </si>
  <si>
    <t>(MAD/h)</t>
  </si>
  <si>
    <t xml:space="preserve">Operator's wage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</si>
</sst>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36"/>
      <color theme="0" tint="-4.9989318521683403E-2"/>
      <name val="Abad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sz val="10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36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D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/>
    <xf numFmtId="0" fontId="5" fillId="3" borderId="0" xfId="0" applyFont="1" applyFill="1"/>
    <xf numFmtId="0" fontId="6" fillId="3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7" fillId="6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3" xfId="0" applyBorder="1"/>
    <xf numFmtId="0" fontId="7" fillId="9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7" fillId="0" borderId="1" xfId="0" applyFont="1" applyBorder="1"/>
    <xf numFmtId="0" fontId="1" fillId="7" borderId="1" xfId="0" applyFont="1" applyFill="1" applyBorder="1" applyAlignment="1">
      <alignment horizontal="left" vertical="top"/>
    </xf>
    <xf numFmtId="0" fontId="0" fillId="7" borderId="1" xfId="0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0" fillId="10" borderId="0" xfId="0" applyFill="1"/>
    <xf numFmtId="0" fontId="1" fillId="1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10" fontId="11" fillId="4" borderId="0" xfId="0" applyNumberFormat="1" applyFont="1" applyFill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12" fillId="0" borderId="11" xfId="0" applyFont="1" applyBorder="1" applyAlignment="1">
      <alignment horizontal="center" vertical="center" wrapText="1"/>
    </xf>
    <xf numFmtId="10" fontId="11" fillId="0" borderId="12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2" fontId="13" fillId="4" borderId="0" xfId="0" applyNumberFormat="1" applyFont="1" applyFill="1" applyAlignment="1">
      <alignment horizontal="center"/>
    </xf>
    <xf numFmtId="0" fontId="9" fillId="4" borderId="0" xfId="0" applyFont="1" applyFill="1" applyAlignment="1">
      <alignment horizontal="center"/>
    </xf>
    <xf numFmtId="2" fontId="13" fillId="4" borderId="0" xfId="0" applyNumberFormat="1" applyFont="1" applyFill="1" applyAlignment="1">
      <alignment horizontal="center" vertical="top"/>
    </xf>
    <xf numFmtId="0" fontId="9" fillId="4" borderId="0" xfId="0" applyFont="1" applyFill="1" applyAlignment="1">
      <alignment horizontal="center" vertical="top"/>
    </xf>
    <xf numFmtId="2" fontId="13" fillId="0" borderId="9" xfId="0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2" fontId="13" fillId="0" borderId="6" xfId="0" applyNumberFormat="1" applyFont="1" applyBorder="1" applyAlignment="1">
      <alignment horizontal="center" vertical="top"/>
    </xf>
    <xf numFmtId="0" fontId="11" fillId="0" borderId="6" xfId="0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1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 vertical="top"/>
    </xf>
    <xf numFmtId="0" fontId="8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sv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microsoft.com/office/2007/relationships/hdphoto" Target="../media/hdphoto1.wdp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49</xdr:row>
      <xdr:rowOff>342900</xdr:rowOff>
    </xdr:from>
    <xdr:to>
      <xdr:col>2</xdr:col>
      <xdr:colOff>257175</xdr:colOff>
      <xdr:row>53</xdr:row>
      <xdr:rowOff>0</xdr:rowOff>
    </xdr:to>
    <xdr:grpSp>
      <xdr:nvGrpSpPr>
        <xdr:cNvPr id="317" name="Group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438150" y="21509567"/>
          <a:ext cx="2605969" cy="2549877"/>
          <a:chOff x="8048625" y="16440150"/>
          <a:chExt cx="1743075" cy="1409700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000-000036010000}"/>
              </a:ext>
            </a:extLst>
          </xdr:cNvPr>
          <xdr:cNvSpPr/>
        </xdr:nvSpPr>
        <xdr:spPr>
          <a:xfrm>
            <a:off x="8048625" y="16440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308" name="Group 307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8486774" y="17002125"/>
            <a:ext cx="923926" cy="457200"/>
            <a:chOff x="8229599" y="17468850"/>
            <a:chExt cx="923926" cy="457200"/>
          </a:xfrm>
        </xdr:grpSpPr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000-000028010000}"/>
                </a:ext>
              </a:extLst>
            </xdr:cNvPr>
            <xdr:cNvCxnSpPr/>
          </xdr:nvCxnSpPr>
          <xdr:spPr>
            <a:xfrm>
              <a:off x="9010650" y="17754600"/>
              <a:ext cx="9525" cy="17145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07" name="Group 306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GrpSpPr/>
          </xdr:nvGrpSpPr>
          <xdr:grpSpPr>
            <a:xfrm>
              <a:off x="8229599" y="17468850"/>
              <a:ext cx="923926" cy="457200"/>
              <a:chOff x="8086724" y="17164050"/>
              <a:chExt cx="923926" cy="457200"/>
            </a:xfrm>
          </xdr:grpSpPr>
          <xdr:sp macro="" textlink="">
            <xdr:nvSpPr>
              <xdr:cNvPr id="289" name="Oval 288">
                <a:extLst>
                  <a:ext uri="{FF2B5EF4-FFF2-40B4-BE49-F238E27FC236}">
                    <a16:creationId xmlns:a16="http://schemas.microsoft.com/office/drawing/2014/main" id="{00000000-0008-0000-0000-000021010000}"/>
                  </a:ext>
                </a:extLst>
              </xdr:cNvPr>
              <xdr:cNvSpPr/>
            </xdr:nvSpPr>
            <xdr:spPr>
              <a:xfrm rot="797763">
                <a:off x="8086724" y="17192295"/>
                <a:ext cx="923926" cy="191540"/>
              </a:xfrm>
              <a:custGeom>
                <a:avLst/>
                <a:gdLst>
                  <a:gd name="connsiteX0" fmla="*/ 0 w 771525"/>
                  <a:gd name="connsiteY0" fmla="*/ 95250 h 190500"/>
                  <a:gd name="connsiteX1" fmla="*/ 385763 w 771525"/>
                  <a:gd name="connsiteY1" fmla="*/ 0 h 190500"/>
                  <a:gd name="connsiteX2" fmla="*/ 771526 w 771525"/>
                  <a:gd name="connsiteY2" fmla="*/ 95250 h 190500"/>
                  <a:gd name="connsiteX3" fmla="*/ 385763 w 771525"/>
                  <a:gd name="connsiteY3" fmla="*/ 190500 h 190500"/>
                  <a:gd name="connsiteX4" fmla="*/ 0 w 771525"/>
                  <a:gd name="connsiteY4" fmla="*/ 95250 h 190500"/>
                  <a:gd name="connsiteX0" fmla="*/ 0 w 733426"/>
                  <a:gd name="connsiteY0" fmla="*/ 95250 h 190500"/>
                  <a:gd name="connsiteX1" fmla="*/ 385763 w 733426"/>
                  <a:gd name="connsiteY1" fmla="*/ 0 h 190500"/>
                  <a:gd name="connsiteX2" fmla="*/ 733426 w 733426"/>
                  <a:gd name="connsiteY2" fmla="*/ 95250 h 190500"/>
                  <a:gd name="connsiteX3" fmla="*/ 385763 w 733426"/>
                  <a:gd name="connsiteY3" fmla="*/ 190500 h 190500"/>
                  <a:gd name="connsiteX4" fmla="*/ 0 w 733426"/>
                  <a:gd name="connsiteY4" fmla="*/ 95250 h 190500"/>
                  <a:gd name="connsiteX0" fmla="*/ 0 w 695326"/>
                  <a:gd name="connsiteY0" fmla="*/ 95250 h 190500"/>
                  <a:gd name="connsiteX1" fmla="*/ 347663 w 695326"/>
                  <a:gd name="connsiteY1" fmla="*/ 0 h 190500"/>
                  <a:gd name="connsiteX2" fmla="*/ 695326 w 695326"/>
                  <a:gd name="connsiteY2" fmla="*/ 95250 h 190500"/>
                  <a:gd name="connsiteX3" fmla="*/ 347663 w 695326"/>
                  <a:gd name="connsiteY3" fmla="*/ 190500 h 190500"/>
                  <a:gd name="connsiteX4" fmla="*/ 0 w 695326"/>
                  <a:gd name="connsiteY4" fmla="*/ 95250 h 190500"/>
                  <a:gd name="connsiteX0" fmla="*/ 0 w 819151"/>
                  <a:gd name="connsiteY0" fmla="*/ 95250 h 190500"/>
                  <a:gd name="connsiteX1" fmla="*/ 471488 w 819151"/>
                  <a:gd name="connsiteY1" fmla="*/ 0 h 190500"/>
                  <a:gd name="connsiteX2" fmla="*/ 819151 w 819151"/>
                  <a:gd name="connsiteY2" fmla="*/ 95250 h 190500"/>
                  <a:gd name="connsiteX3" fmla="*/ 471488 w 819151"/>
                  <a:gd name="connsiteY3" fmla="*/ 190500 h 190500"/>
                  <a:gd name="connsiteX4" fmla="*/ 0 w 819151"/>
                  <a:gd name="connsiteY4" fmla="*/ 95250 h 190500"/>
                  <a:gd name="connsiteX0" fmla="*/ 0 w 971551"/>
                  <a:gd name="connsiteY0" fmla="*/ 95405 h 190908"/>
                  <a:gd name="connsiteX1" fmla="*/ 471488 w 971551"/>
                  <a:gd name="connsiteY1" fmla="*/ 155 h 190908"/>
                  <a:gd name="connsiteX2" fmla="*/ 971551 w 971551"/>
                  <a:gd name="connsiteY2" fmla="*/ 114455 h 190908"/>
                  <a:gd name="connsiteX3" fmla="*/ 471488 w 971551"/>
                  <a:gd name="connsiteY3" fmla="*/ 190655 h 190908"/>
                  <a:gd name="connsiteX4" fmla="*/ 0 w 971551"/>
                  <a:gd name="connsiteY4" fmla="*/ 95405 h 190908"/>
                  <a:gd name="connsiteX0" fmla="*/ 0 w 923926"/>
                  <a:gd name="connsiteY0" fmla="*/ 95580 h 191540"/>
                  <a:gd name="connsiteX1" fmla="*/ 471488 w 923926"/>
                  <a:gd name="connsiteY1" fmla="*/ 330 h 191540"/>
                  <a:gd name="connsiteX2" fmla="*/ 923926 w 923926"/>
                  <a:gd name="connsiteY2" fmla="*/ 124155 h 191540"/>
                  <a:gd name="connsiteX3" fmla="*/ 471488 w 923926"/>
                  <a:gd name="connsiteY3" fmla="*/ 190830 h 191540"/>
                  <a:gd name="connsiteX4" fmla="*/ 0 w 923926"/>
                  <a:gd name="connsiteY4" fmla="*/ 95580 h 19154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23926" h="191540">
                    <a:moveTo>
                      <a:pt x="0" y="95580"/>
                    </a:moveTo>
                    <a:cubicBezTo>
                      <a:pt x="0" y="42975"/>
                      <a:pt x="317500" y="-4432"/>
                      <a:pt x="471488" y="330"/>
                    </a:cubicBezTo>
                    <a:cubicBezTo>
                      <a:pt x="625476" y="5092"/>
                      <a:pt x="923926" y="71550"/>
                      <a:pt x="923926" y="124155"/>
                    </a:cubicBezTo>
                    <a:cubicBezTo>
                      <a:pt x="923926" y="176760"/>
                      <a:pt x="625476" y="195592"/>
                      <a:pt x="471488" y="190830"/>
                    </a:cubicBezTo>
                    <a:cubicBezTo>
                      <a:pt x="317500" y="186068"/>
                      <a:pt x="0" y="148185"/>
                      <a:pt x="0" y="95580"/>
                    </a:cubicBezTo>
                    <a:close/>
                  </a:path>
                </a:pathLst>
              </a:custGeom>
              <a:no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0" name="Oval 289">
                <a:extLst>
                  <a:ext uri="{FF2B5EF4-FFF2-40B4-BE49-F238E27FC236}">
                    <a16:creationId xmlns:a16="http://schemas.microsoft.com/office/drawing/2014/main" id="{00000000-0008-0000-0000-000022010000}"/>
                  </a:ext>
                </a:extLst>
              </xdr:cNvPr>
              <xdr:cNvSpPr/>
            </xdr:nvSpPr>
            <xdr:spPr>
              <a:xfrm>
                <a:off x="8191500" y="171640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1" name="Oval 290">
                <a:extLst>
                  <a:ext uri="{FF2B5EF4-FFF2-40B4-BE49-F238E27FC236}">
                    <a16:creationId xmlns:a16="http://schemas.microsoft.com/office/drawing/2014/main" id="{00000000-0008-0000-0000-000023010000}"/>
                  </a:ext>
                </a:extLst>
              </xdr:cNvPr>
              <xdr:cNvSpPr/>
            </xdr:nvSpPr>
            <xdr:spPr>
              <a:xfrm>
                <a:off x="8343900" y="172021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2" name="Oval 291">
                <a:extLst>
                  <a:ext uri="{FF2B5EF4-FFF2-40B4-BE49-F238E27FC236}">
                    <a16:creationId xmlns:a16="http://schemas.microsoft.com/office/drawing/2014/main" id="{00000000-0008-0000-0000-000024010000}"/>
                  </a:ext>
                </a:extLst>
              </xdr:cNvPr>
              <xdr:cNvSpPr/>
            </xdr:nvSpPr>
            <xdr:spPr>
              <a:xfrm>
                <a:off x="8496300" y="172402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3" name="Oval 292">
                <a:extLst>
                  <a:ext uri="{FF2B5EF4-FFF2-40B4-BE49-F238E27FC236}">
                    <a16:creationId xmlns:a16="http://schemas.microsoft.com/office/drawing/2014/main" id="{00000000-0008-0000-0000-000025010000}"/>
                  </a:ext>
                </a:extLst>
              </xdr:cNvPr>
              <xdr:cNvSpPr/>
            </xdr:nvSpPr>
            <xdr:spPr>
              <a:xfrm>
                <a:off x="8658225" y="17287875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4" name="Oval 293">
                <a:extLst>
                  <a:ext uri="{FF2B5EF4-FFF2-40B4-BE49-F238E27FC236}">
                    <a16:creationId xmlns:a16="http://schemas.microsoft.com/office/drawing/2014/main" id="{00000000-0008-0000-0000-000026010000}"/>
                  </a:ext>
                </a:extLst>
              </xdr:cNvPr>
              <xdr:cNvSpPr/>
            </xdr:nvSpPr>
            <xdr:spPr>
              <a:xfrm>
                <a:off x="8801100" y="17325975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cxnSp macro="">
            <xdr:nvCxnSpPr>
              <xdr:cNvPr id="297" name="Straight Connector 296">
                <a:extLst>
                  <a:ext uri="{FF2B5EF4-FFF2-40B4-BE49-F238E27FC236}">
                    <a16:creationId xmlns:a16="http://schemas.microsoft.com/office/drawing/2014/main" id="{00000000-0008-0000-0000-000029010000}"/>
                  </a:ext>
                </a:extLst>
              </xdr:cNvPr>
              <xdr:cNvCxnSpPr/>
            </xdr:nvCxnSpPr>
            <xdr:spPr>
              <a:xfrm>
                <a:off x="8810625" y="17449800"/>
                <a:ext cx="9525" cy="17145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98" name="Straight Connector 297">
                <a:extLst>
                  <a:ext uri="{FF2B5EF4-FFF2-40B4-BE49-F238E27FC236}">
                    <a16:creationId xmlns:a16="http://schemas.microsoft.com/office/drawing/2014/main" id="{00000000-0008-0000-0000-00002A010000}"/>
                  </a:ext>
                </a:extLst>
              </xdr:cNvPr>
              <xdr:cNvCxnSpPr/>
            </xdr:nvCxnSpPr>
            <xdr:spPr>
              <a:xfrm flipH="1">
                <a:off x="8743950" y="17602200"/>
                <a:ext cx="200025" cy="9525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2" name="Straight Connector 301">
                <a:extLst>
                  <a:ext uri="{FF2B5EF4-FFF2-40B4-BE49-F238E27FC236}">
                    <a16:creationId xmlns:a16="http://schemas.microsoft.com/office/drawing/2014/main" id="{00000000-0008-0000-0000-00002E010000}"/>
                  </a:ext>
                </a:extLst>
              </xdr:cNvPr>
              <xdr:cNvCxnSpPr/>
            </xdr:nvCxnSpPr>
            <xdr:spPr>
              <a:xfrm flipH="1">
                <a:off x="8105775" y="17611725"/>
                <a:ext cx="200025" cy="9525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6" name="Straight Connector 305">
                <a:extLst>
                  <a:ext uri="{FF2B5EF4-FFF2-40B4-BE49-F238E27FC236}">
                    <a16:creationId xmlns:a16="http://schemas.microsoft.com/office/drawing/2014/main" id="{00000000-0008-0000-0000-000032010000}"/>
                  </a:ext>
                </a:extLst>
              </xdr:cNvPr>
              <xdr:cNvCxnSpPr/>
            </xdr:nvCxnSpPr>
            <xdr:spPr>
              <a:xfrm>
                <a:off x="8172450" y="17230725"/>
                <a:ext cx="9525" cy="38100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0</xdr:col>
      <xdr:colOff>692080</xdr:colOff>
      <xdr:row>10</xdr:row>
      <xdr:rowOff>200025</xdr:rowOff>
    </xdr:from>
    <xdr:to>
      <xdr:col>1</xdr:col>
      <xdr:colOff>914400</xdr:colOff>
      <xdr:row>12</xdr:row>
      <xdr:rowOff>66675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92080" y="3516136"/>
          <a:ext cx="1104264" cy="783872"/>
          <a:chOff x="358705" y="4038600"/>
          <a:chExt cx="1070045" cy="742950"/>
        </a:xfrm>
      </xdr:grpSpPr>
      <xdr:sp macro="" textlink="">
        <xdr:nvSpPr>
          <xdr:cNvPr id="17" name="Freeform: Shap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358705" y="4038600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b="1">
              <a:solidFill>
                <a:schemeClr val="tx1"/>
              </a:solidFill>
            </a:endParaRPr>
          </a:p>
        </xdr:txBody>
      </xdr:sp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20630" y="4410075"/>
            <a:ext cx="731583" cy="29873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692080</xdr:colOff>
      <xdr:row>10</xdr:row>
      <xdr:rowOff>285750</xdr:rowOff>
    </xdr:from>
    <xdr:to>
      <xdr:col>6</xdr:col>
      <xdr:colOff>66675</xdr:colOff>
      <xdr:row>12</xdr:row>
      <xdr:rowOff>152400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242913" y="3601861"/>
          <a:ext cx="1420706" cy="783872"/>
          <a:chOff x="1863655" y="3857625"/>
          <a:chExt cx="1070045" cy="742950"/>
        </a:xfrm>
      </xdr:grpSpPr>
      <xdr:sp macro="" textlink="">
        <xdr:nvSpPr>
          <xdr:cNvPr id="19" name="Freeform: Shap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 b="1"/>
              <a:t>Supplier</a:t>
            </a:r>
          </a:p>
        </xdr:txBody>
      </xdr:sp>
    </xdr:grpSp>
    <xdr:clientData/>
  </xdr:twoCellAnchor>
  <xdr:twoCellAnchor>
    <xdr:from>
      <xdr:col>0</xdr:col>
      <xdr:colOff>723900</xdr:colOff>
      <xdr:row>13</xdr:row>
      <xdr:rowOff>419102</xdr:rowOff>
    </xdr:from>
    <xdr:to>
      <xdr:col>2</xdr:col>
      <xdr:colOff>152400</xdr:colOff>
      <xdr:row>17</xdr:row>
      <xdr:rowOff>352423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723900" y="5075769"/>
          <a:ext cx="2215444" cy="1767765"/>
          <a:chOff x="600075" y="6219829"/>
          <a:chExt cx="1352550" cy="1819272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600075" y="6219829"/>
            <a:ext cx="1352550" cy="1200149"/>
            <a:chOff x="581025" y="5353050"/>
            <a:chExt cx="1352550" cy="1323973"/>
          </a:xfrm>
          <a:grpFill/>
        </xdr:grpSpPr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800"/>
                <a:t>C/T=</a:t>
              </a:r>
            </a:p>
          </xdr:txBody>
        </xdr: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81025" y="568642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P/T=</a:t>
              </a:r>
            </a:p>
          </xdr:txBody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581025" y="601027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C O =</a:t>
              </a:r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581025" y="6343649"/>
              <a:ext cx="1352550" cy="333374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Uptime</a:t>
              </a:r>
              <a:r>
                <a:rPr lang="fr-FR" sz="1100"/>
                <a:t> =</a:t>
              </a:r>
            </a:p>
          </xdr:txBody>
        </xdr:sp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600075" y="7429501"/>
            <a:ext cx="1352550" cy="609600"/>
            <a:chOff x="581025" y="5353050"/>
            <a:chExt cx="1352550" cy="672495"/>
          </a:xfrm>
          <a:grpFill/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Quality =</a:t>
              </a:r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581025" y="5686424"/>
              <a:ext cx="1352550" cy="339121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Of shifts </a:t>
              </a:r>
              <a:r>
                <a:rPr lang="fr-FR" sz="1100"/>
                <a:t>=</a:t>
              </a:r>
            </a:p>
          </xdr:txBody>
        </xdr:sp>
      </xdr:grpSp>
    </xdr:grpSp>
    <xdr:clientData/>
  </xdr:twoCellAnchor>
  <xdr:twoCellAnchor>
    <xdr:from>
      <xdr:col>4</xdr:col>
      <xdr:colOff>619125</xdr:colOff>
      <xdr:row>14</xdr:row>
      <xdr:rowOff>304801</xdr:rowOff>
    </xdr:from>
    <xdr:to>
      <xdr:col>6</xdr:col>
      <xdr:colOff>276225</xdr:colOff>
      <xdr:row>15</xdr:row>
      <xdr:rowOff>151524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238625" y="5381626"/>
          <a:ext cx="1352550" cy="284873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C/T=</a:t>
          </a:r>
          <a:endParaRPr lang="fr-FR">
            <a:effectLst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4</xdr:col>
      <xdr:colOff>619125</xdr:colOff>
      <xdr:row>14</xdr:row>
      <xdr:rowOff>1</xdr:rowOff>
    </xdr:from>
    <xdr:to>
      <xdr:col>6</xdr:col>
      <xdr:colOff>276225</xdr:colOff>
      <xdr:row>19</xdr:row>
      <xdr:rowOff>65799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GrpSpPr/>
      </xdr:nvGrpSpPr>
      <xdr:grpSpPr>
        <a:xfrm>
          <a:off x="5169958" y="5115279"/>
          <a:ext cx="1703211" cy="2358853"/>
          <a:chOff x="4238625" y="5095876"/>
          <a:chExt cx="1352550" cy="2256548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4238625" y="5381626"/>
            <a:ext cx="1352550" cy="1685932"/>
            <a:chOff x="600075" y="6219829"/>
            <a:chExt cx="1352550" cy="1819284"/>
          </a:xfrm>
          <a:grpFill/>
        </xdr:grpSpPr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600075" y="6219829"/>
              <a:ext cx="1352550" cy="1200149"/>
              <a:chOff x="581025" y="5353050"/>
              <a:chExt cx="1352550" cy="1323973"/>
            </a:xfrm>
            <a:grpFill/>
          </xdr:grpSpPr>
          <xdr:sp macro="" textlink="">
            <xdr:nvSpPr>
              <xdr:cNvPr id="41" name="Rectangle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/>
            </xdr:nvSpPr>
            <xdr:spPr>
              <a:xfrm>
                <a:off x="581025" y="5353050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fr-FR" sz="800"/>
                  <a:t>C/T=</a:t>
                </a:r>
              </a:p>
            </xdr:txBody>
          </xdr:sp>
          <xdr:sp macro="" textlink="">
            <xdr:nvSpPr>
              <xdr:cNvPr id="42" name="Rectangle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/>
            </xdr:nvSpPr>
            <xdr:spPr>
              <a:xfrm>
                <a:off x="581025" y="5686425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P/T=</a:t>
                </a:r>
              </a:p>
            </xdr:txBody>
          </xdr:sp>
          <xdr:sp macro="" textlink="">
            <xdr:nvSpPr>
              <xdr:cNvPr id="43" name="Rectangle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SpPr/>
            </xdr:nvSpPr>
            <xdr:spPr>
              <a:xfrm>
                <a:off x="581025" y="6010275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C O =</a:t>
                </a:r>
              </a:p>
            </xdr:txBody>
          </xdr:sp>
          <xdr:sp macro="" textlink="">
            <xdr:nvSpPr>
              <xdr:cNvPr id="44" name="Rectangle 43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SpPr/>
            </xdr:nvSpPr>
            <xdr:spPr>
              <a:xfrm>
                <a:off x="581025" y="6343649"/>
                <a:ext cx="1352550" cy="333374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Uptime</a:t>
                </a:r>
                <a:r>
                  <a:rPr lang="fr-FR" sz="1100"/>
                  <a:t> =</a:t>
                </a:r>
              </a:p>
            </xdr:txBody>
          </xdr:sp>
        </xdr:grpSp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GrpSpPr/>
          </xdr:nvGrpSpPr>
          <xdr:grpSpPr>
            <a:xfrm>
              <a:off x="600075" y="7429507"/>
              <a:ext cx="1352550" cy="609606"/>
              <a:chOff x="581025" y="5353051"/>
              <a:chExt cx="1352550" cy="672501"/>
            </a:xfrm>
            <a:grpFill/>
          </xdr:grpSpPr>
          <xdr:sp macro="" textlink="">
            <xdr:nvSpPr>
              <xdr:cNvPr id="39" name="Rectangle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581025" y="5353051"/>
                <a:ext cx="1352550" cy="333376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Quality =</a:t>
                </a:r>
              </a:p>
            </xdr:txBody>
          </xdr:sp>
          <xdr:sp macro="" textlink="">
            <xdr:nvSpPr>
              <xdr:cNvPr id="40" name="Rectangle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SpPr/>
            </xdr:nvSpPr>
            <xdr:spPr>
              <a:xfrm>
                <a:off x="581025" y="5686430"/>
                <a:ext cx="1352550" cy="339122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Of shifts </a:t>
                </a:r>
                <a:r>
                  <a:rPr lang="fr-FR" sz="1100"/>
                  <a:t>=</a:t>
                </a:r>
              </a:p>
            </xdr:txBody>
          </xdr:sp>
        </xdr:grpSp>
      </xdr:grp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4238625" y="5095876"/>
            <a:ext cx="1352550" cy="284873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8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Takt </a:t>
            </a:r>
            <a:r>
              <a:rPr lang="fr-FR" sz="1100"/>
              <a:t>=</a:t>
            </a:r>
          </a:p>
        </xdr:txBody>
      </xdr:sp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4238625" y="7067551"/>
            <a:ext cx="1352550" cy="284873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8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EPEI</a:t>
            </a:r>
            <a:r>
              <a:rPr lang="fr-FR" sz="8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</a:t>
            </a:r>
            <a:r>
              <a:rPr lang="fr-FR" sz="1100"/>
              <a:t>=</a:t>
            </a:r>
          </a:p>
        </xdr:txBody>
      </xdr:sp>
    </xdr:grpSp>
    <xdr:clientData/>
  </xdr:twoCellAnchor>
  <xdr:twoCellAnchor>
    <xdr:from>
      <xdr:col>0</xdr:col>
      <xdr:colOff>514350</xdr:colOff>
      <xdr:row>24</xdr:row>
      <xdr:rowOff>390525</xdr:rowOff>
    </xdr:from>
    <xdr:to>
      <xdr:col>2</xdr:col>
      <xdr:colOff>304800</xdr:colOff>
      <xdr:row>28</xdr:row>
      <xdr:rowOff>47625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514350" y="10091914"/>
          <a:ext cx="2577394" cy="1491544"/>
          <a:chOff x="600075" y="7658100"/>
          <a:chExt cx="1714500" cy="1409700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6" name="Oval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8" name="Freeform: Shap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133350</xdr:colOff>
      <xdr:row>24</xdr:row>
      <xdr:rowOff>371475</xdr:rowOff>
    </xdr:from>
    <xdr:to>
      <xdr:col>6</xdr:col>
      <xdr:colOff>323850</xdr:colOff>
      <xdr:row>28</xdr:row>
      <xdr:rowOff>228600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4684183" y="10072864"/>
          <a:ext cx="2236611" cy="1691569"/>
          <a:chOff x="3143250" y="8191500"/>
          <a:chExt cx="1885950" cy="1609725"/>
        </a:xfrm>
      </xdr:grpSpPr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</xdr:grpSpPr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70" name="Rectangle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1" name="Rectangle 70">
                <a:extLst>
                  <a:ext uri="{FF2B5EF4-FFF2-40B4-BE49-F238E27FC236}">
                    <a16:creationId xmlns:a16="http://schemas.microsoft.com/office/drawing/2014/main" id="{00000000-0008-0000-0000-000047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2" name="Oval 71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9" name="Freeform: Shape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GrpSpPr/>
        </xdr:nvGrpSpPr>
        <xdr:grpSpPr>
          <a:xfrm>
            <a:off x="3143250" y="8391525"/>
            <a:ext cx="1714500" cy="1409700"/>
            <a:chOff x="600075" y="7658100"/>
            <a:chExt cx="1714500" cy="1409700"/>
          </a:xfrm>
        </xdr:grpSpPr>
        <xdr:grpSp>
          <xdr:nvGrpSpPr>
            <xdr:cNvPr id="62" name="Group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64" name="Rectangle 63">
                <a:extLst>
                  <a:ext uri="{FF2B5EF4-FFF2-40B4-BE49-F238E27FC236}">
                    <a16:creationId xmlns:a16="http://schemas.microsoft.com/office/drawing/2014/main" id="{00000000-0008-0000-0000-000040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5" name="Rectangle 64">
                <a:extLst>
                  <a:ext uri="{FF2B5EF4-FFF2-40B4-BE49-F238E27FC236}">
                    <a16:creationId xmlns:a16="http://schemas.microsoft.com/office/drawing/2014/main" id="{00000000-0008-0000-0000-000041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6" name="Oval 65">
                <a:extLst>
                  <a:ext uri="{FF2B5EF4-FFF2-40B4-BE49-F238E27FC236}">
                    <a16:creationId xmlns:a16="http://schemas.microsoft.com/office/drawing/2014/main" id="{00000000-0008-0000-0000-000042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3" name="Freeform: Shap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0</xdr:col>
      <xdr:colOff>283013</xdr:colOff>
      <xdr:row>29</xdr:row>
      <xdr:rowOff>425413</xdr:rowOff>
    </xdr:from>
    <xdr:to>
      <xdr:col>2</xdr:col>
      <xdr:colOff>92513</xdr:colOff>
      <xdr:row>33</xdr:row>
      <xdr:rowOff>82513</xdr:rowOff>
    </xdr:to>
    <xdr:grpSp>
      <xdr:nvGrpSpPr>
        <xdr:cNvPr id="107" name="Group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/>
      </xdr:nvGrpSpPr>
      <xdr:grpSpPr>
        <a:xfrm>
          <a:off x="283013" y="12419857"/>
          <a:ext cx="2596444" cy="1491545"/>
          <a:chOff x="561975" y="10915650"/>
          <a:chExt cx="1733550" cy="1409700"/>
        </a:xfrm>
      </xdr:grpSpPr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GrpSpPr/>
        </xdr:nvGrpSpPr>
        <xdr:grpSpPr>
          <a:xfrm>
            <a:off x="561975" y="10915650"/>
            <a:ext cx="1714500" cy="1409700"/>
            <a:chOff x="600075" y="7658100"/>
            <a:chExt cx="1714500" cy="1409700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00000000-0008-0000-0000-00004D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8" name="Rectangle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9" name="Oval 78">
                <a:extLst>
                  <a:ext uri="{FF2B5EF4-FFF2-40B4-BE49-F238E27FC236}">
                    <a16:creationId xmlns:a16="http://schemas.microsoft.com/office/drawing/2014/main" id="{00000000-0008-0000-0000-00004F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76" name="Freeform: Shape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83" name="Straight Connector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590550" y="11468100"/>
            <a:ext cx="1704975" cy="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CxnSpPr>
            <a:endCxn id="77" idx="3"/>
          </xdr:cNvCxnSpPr>
        </xdr:nvCxnSpPr>
        <xdr:spPr>
          <a:xfrm flipV="1">
            <a:off x="571500" y="1162050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 flipV="1">
            <a:off x="561975" y="1177290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 flipV="1">
            <a:off x="561975" y="1190625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11620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857250" y="11325225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CxnSpPr/>
        </xdr:nvCxnSpPr>
        <xdr:spPr>
          <a:xfrm>
            <a:off x="704850" y="11315700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000125" y="11325225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295400" y="11334750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44780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600200" y="11334750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7335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Straight Connector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857375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1" name="Straight Connector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990725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CxnSpPr/>
        </xdr:nvCxnSpPr>
        <xdr:spPr>
          <a:xfrm>
            <a:off x="21145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CxnSpPr/>
        </xdr:nvCxnSpPr>
        <xdr:spPr>
          <a:xfrm flipH="1">
            <a:off x="1181100" y="12039600"/>
            <a:ext cx="1114425" cy="952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CxnSpPr/>
        </xdr:nvCxnSpPr>
        <xdr:spPr>
          <a:xfrm flipH="1">
            <a:off x="1162050" y="12172950"/>
            <a:ext cx="1114425" cy="952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723900</xdr:colOff>
      <xdr:row>19</xdr:row>
      <xdr:rowOff>342906</xdr:rowOff>
    </xdr:from>
    <xdr:to>
      <xdr:col>2</xdr:col>
      <xdr:colOff>152400</xdr:colOff>
      <xdr:row>22</xdr:row>
      <xdr:rowOff>429500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723900" y="7751239"/>
          <a:ext cx="2215444" cy="1462428"/>
          <a:chOff x="600075" y="6219833"/>
          <a:chExt cx="1352550" cy="1511862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GrpSpPr/>
        </xdr:nvGrpSpPr>
        <xdr:grpSpPr>
          <a:xfrm>
            <a:off x="600075" y="6219833"/>
            <a:ext cx="1352550" cy="1200150"/>
            <a:chOff x="581025" y="5353050"/>
            <a:chExt cx="1352550" cy="1323973"/>
          </a:xfrm>
          <a:grpFill/>
        </xdr:grpSpPr>
        <xdr:sp macro="" textlink="">
          <xdr:nvSpPr>
            <xdr:cNvPr id="122" name="Rectangle 12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l"/>
              <a:endParaRPr lang="fr-FR" sz="800"/>
            </a:p>
          </xdr:txBody>
        </xdr:sp>
        <xdr:sp macro="" textlink="">
          <xdr:nvSpPr>
            <xdr:cNvPr id="123" name="Rectangle 122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SpPr/>
          </xdr:nvSpPr>
          <xdr:spPr>
            <a:xfrm>
              <a:off x="581025" y="568642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fr-FR" sz="8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24" name="Rectangle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/>
          </xdr:nvSpPr>
          <xdr:spPr>
            <a:xfrm>
              <a:off x="581025" y="601027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fr-FR" sz="8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25" name="Rectangle 124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/>
          </xdr:nvSpPr>
          <xdr:spPr>
            <a:xfrm>
              <a:off x="581025" y="6343649"/>
              <a:ext cx="1352550" cy="333374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600075" y="7429499"/>
            <a:ext cx="1352550" cy="302196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8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581025</xdr:colOff>
      <xdr:row>19</xdr:row>
      <xdr:rowOff>419100</xdr:rowOff>
    </xdr:from>
    <xdr:to>
      <xdr:col>6</xdr:col>
      <xdr:colOff>361950</xdr:colOff>
      <xdr:row>23</xdr:row>
      <xdr:rowOff>85725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GrpSpPr/>
      </xdr:nvGrpSpPr>
      <xdr:grpSpPr>
        <a:xfrm>
          <a:off x="5131858" y="7827433"/>
          <a:ext cx="1827036" cy="1501070"/>
          <a:chOff x="4276725" y="7419975"/>
          <a:chExt cx="1724025" cy="1419225"/>
        </a:xfrm>
      </xdr:grpSpPr>
      <xdr:grpSp>
        <xdr:nvGrpSpPr>
          <xdr:cNvPr id="159" name="Group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GrpSpPr/>
        </xdr:nvGrpSpPr>
        <xdr:grpSpPr>
          <a:xfrm>
            <a:off x="4276725" y="7419975"/>
            <a:ext cx="1724025" cy="1409700"/>
            <a:chOff x="4114800" y="7886700"/>
            <a:chExt cx="1724025" cy="1409700"/>
          </a:xfrm>
        </xdr:grpSpPr>
        <xdr:grpSp>
          <xdr:nvGrpSpPr>
            <xdr:cNvPr id="126" name="Group 125">
              <a:extLst>
                <a:ext uri="{FF2B5EF4-FFF2-40B4-BE49-F238E27FC236}">
                  <a16:creationId xmlns:a16="http://schemas.microsoft.com/office/drawing/2014/main" id="{00000000-0008-0000-0000-00007E000000}"/>
                </a:ext>
              </a:extLst>
            </xdr:cNvPr>
            <xdr:cNvGrpSpPr/>
          </xdr:nvGrpSpPr>
          <xdr:grpSpPr>
            <a:xfrm>
              <a:off x="4124325" y="7886700"/>
              <a:ext cx="1714500" cy="1409700"/>
              <a:chOff x="600075" y="7658100"/>
              <a:chExt cx="1714500" cy="1409700"/>
            </a:xfrm>
          </xdr:grpSpPr>
          <xdr:grpSp>
            <xdr:nvGrpSpPr>
              <xdr:cNvPr id="127" name="Group 126">
                <a:extLst>
                  <a:ext uri="{FF2B5EF4-FFF2-40B4-BE49-F238E27FC236}">
                    <a16:creationId xmlns:a16="http://schemas.microsoft.com/office/drawing/2014/main" id="{00000000-0008-0000-0000-00007F000000}"/>
                  </a:ext>
                </a:extLst>
              </xdr:cNvPr>
              <xdr:cNvGrpSpPr/>
            </xdr:nvGrpSpPr>
            <xdr:grpSpPr>
              <a:xfrm>
                <a:off x="600075" y="7658100"/>
                <a:ext cx="1714500" cy="1409700"/>
                <a:chOff x="590550" y="7648575"/>
                <a:chExt cx="1714500" cy="1409700"/>
              </a:xfrm>
            </xdr:grpSpPr>
            <xdr:sp macro="" textlink="">
              <xdr:nvSpPr>
                <xdr:cNvPr id="129" name="Rectangle 128">
                  <a:extLst>
                    <a:ext uri="{FF2B5EF4-FFF2-40B4-BE49-F238E27FC236}">
                      <a16:creationId xmlns:a16="http://schemas.microsoft.com/office/drawing/2014/main" id="{00000000-0008-0000-0000-000081000000}"/>
                    </a:ext>
                  </a:extLst>
                </xdr:cNvPr>
                <xdr:cNvSpPr/>
              </xdr:nvSpPr>
              <xdr:spPr>
                <a:xfrm>
                  <a:off x="600075" y="7648575"/>
                  <a:ext cx="1704975" cy="1409700"/>
                </a:xfrm>
                <a:prstGeom prst="rect">
                  <a:avLst/>
                </a:prstGeom>
                <a:solidFill>
                  <a:schemeClr val="accent4">
                    <a:lumMod val="60000"/>
                    <a:lumOff val="40000"/>
                  </a:schemeClr>
                </a:solidFill>
                <a:ln w="38100"/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30" name="Rectangle 129">
                  <a:extLst>
                    <a:ext uri="{FF2B5EF4-FFF2-40B4-BE49-F238E27FC236}">
                      <a16:creationId xmlns:a16="http://schemas.microsoft.com/office/drawing/2014/main" id="{00000000-0008-0000-0000-000082000000}"/>
                    </a:ext>
                  </a:extLst>
                </xdr:cNvPr>
                <xdr:cNvSpPr/>
              </xdr:nvSpPr>
              <xdr:spPr>
                <a:xfrm>
                  <a:off x="590550" y="7658099"/>
                  <a:ext cx="1714500" cy="390525"/>
                </a:xfrm>
                <a:prstGeom prst="rect">
                  <a:avLst/>
                </a:prstGeom>
                <a:solidFill>
                  <a:schemeClr val="accent4">
                    <a:lumMod val="60000"/>
                    <a:lumOff val="40000"/>
                  </a:schemeClr>
                </a:solidFill>
                <a:ln w="38100"/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31" name="Oval 130">
                  <a:extLst>
                    <a:ext uri="{FF2B5EF4-FFF2-40B4-BE49-F238E27FC236}">
                      <a16:creationId xmlns:a16="http://schemas.microsoft.com/office/drawing/2014/main" id="{00000000-0008-0000-0000-000083000000}"/>
                    </a:ext>
                  </a:extLst>
                </xdr:cNvPr>
                <xdr:cNvSpPr/>
              </xdr:nvSpPr>
              <xdr:spPr>
                <a:xfrm>
                  <a:off x="676275" y="8753475"/>
                  <a:ext cx="238125" cy="171450"/>
                </a:xfrm>
                <a:prstGeom prst="ellipse">
                  <a:avLst/>
                </a:prstGeom>
                <a:solidFill>
                  <a:srgbClr val="FFC000"/>
                </a:solidFill>
                <a:ln w="38100"/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">
            <xdr:nvSpPr>
              <xdr:cNvPr id="128" name="Freeform: Shape 127">
                <a:extLst>
                  <a:ext uri="{FF2B5EF4-FFF2-40B4-BE49-F238E27FC236}">
                    <a16:creationId xmlns:a16="http://schemas.microsoft.com/office/drawing/2014/main" id="{00000000-0008-0000-0000-000080000000}"/>
                  </a:ext>
                </a:extLst>
              </xdr:cNvPr>
              <xdr:cNvSpPr/>
            </xdr:nvSpPr>
            <xdr:spPr>
              <a:xfrm>
                <a:off x="657225" y="8886825"/>
                <a:ext cx="304800" cy="123825"/>
              </a:xfrm>
              <a:custGeom>
                <a:avLst/>
                <a:gdLst>
                  <a:gd name="connsiteX0" fmla="*/ 0 w 304800"/>
                  <a:gd name="connsiteY0" fmla="*/ 28575 h 123825"/>
                  <a:gd name="connsiteX1" fmla="*/ 28575 w 304800"/>
                  <a:gd name="connsiteY1" fmla="*/ 104775 h 123825"/>
                  <a:gd name="connsiteX2" fmla="*/ 161925 w 304800"/>
                  <a:gd name="connsiteY2" fmla="*/ 123825 h 123825"/>
                  <a:gd name="connsiteX3" fmla="*/ 257175 w 304800"/>
                  <a:gd name="connsiteY3" fmla="*/ 95250 h 123825"/>
                  <a:gd name="connsiteX4" fmla="*/ 285750 w 304800"/>
                  <a:gd name="connsiteY4" fmla="*/ 38100 h 123825"/>
                  <a:gd name="connsiteX5" fmla="*/ 304800 w 304800"/>
                  <a:gd name="connsiteY5" fmla="*/ 0 h 123825"/>
                  <a:gd name="connsiteX6" fmla="*/ 295275 w 304800"/>
                  <a:gd name="connsiteY6" fmla="*/ 0 h 1238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304800" h="123825">
                    <a:moveTo>
                      <a:pt x="0" y="28575"/>
                    </a:moveTo>
                    <a:lnTo>
                      <a:pt x="28575" y="104775"/>
                    </a:lnTo>
                    <a:lnTo>
                      <a:pt x="161925" y="123825"/>
                    </a:lnTo>
                    <a:lnTo>
                      <a:pt x="257175" y="95250"/>
                    </a:lnTo>
                    <a:lnTo>
                      <a:pt x="285750" y="38100"/>
                    </a:lnTo>
                    <a:lnTo>
                      <a:pt x="304800" y="0"/>
                    </a:lnTo>
                    <a:lnTo>
                      <a:pt x="295275" y="0"/>
                    </a:lnTo>
                  </a:path>
                </a:pathLst>
              </a:custGeom>
              <a:no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cxnSp macro="">
          <xdr:nvCxnSpPr>
            <xdr:cNvPr id="138" name="Straight Connector 137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CxnSpPr/>
          </xdr:nvCxnSpPr>
          <xdr:spPr>
            <a:xfrm flipV="1">
              <a:off x="4114800" y="8286750"/>
              <a:ext cx="247650" cy="19050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0" name="Straight Connector 139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CxnSpPr>
              <a:endCxn id="130" idx="2"/>
            </xdr:cNvCxnSpPr>
          </xdr:nvCxnSpPr>
          <xdr:spPr>
            <a:xfrm flipV="1">
              <a:off x="4267200" y="8286749"/>
              <a:ext cx="714375" cy="628651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1" name="Straight Connector 140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CxnSpPr/>
          </xdr:nvCxnSpPr>
          <xdr:spPr>
            <a:xfrm flipV="1">
              <a:off x="4133850" y="8296275"/>
              <a:ext cx="542925" cy="4667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8" name="Straight Connector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CxnSpPr/>
          </xdr:nvCxnSpPr>
          <xdr:spPr>
            <a:xfrm flipV="1">
              <a:off x="4524375" y="8277225"/>
              <a:ext cx="714375" cy="66675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000-000096000000}"/>
                </a:ext>
              </a:extLst>
            </xdr:cNvPr>
            <xdr:cNvCxnSpPr/>
          </xdr:nvCxnSpPr>
          <xdr:spPr>
            <a:xfrm flipV="1">
              <a:off x="4676775" y="8296275"/>
              <a:ext cx="819150" cy="80010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3" name="Straight Connector 152">
              <a:extLst>
                <a:ext uri="{FF2B5EF4-FFF2-40B4-BE49-F238E27FC236}">
                  <a16:creationId xmlns:a16="http://schemas.microsoft.com/office/drawing/2014/main" id="{00000000-0008-0000-0000-000099000000}"/>
                </a:ext>
              </a:extLst>
            </xdr:cNvPr>
            <xdr:cNvCxnSpPr/>
          </xdr:nvCxnSpPr>
          <xdr:spPr>
            <a:xfrm flipV="1">
              <a:off x="4781550" y="8296275"/>
              <a:ext cx="1028700" cy="10001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5" name="Straight Connector 154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CxnSpPr>
              <a:endCxn id="129" idx="3"/>
            </xdr:cNvCxnSpPr>
          </xdr:nvCxnSpPr>
          <xdr:spPr>
            <a:xfrm flipV="1">
              <a:off x="5076825" y="8591550"/>
              <a:ext cx="762000" cy="70485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7" name="Straight Connector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CxnSpPr/>
          </xdr:nvCxnSpPr>
          <xdr:spPr>
            <a:xfrm flipV="1">
              <a:off x="5410200" y="8905875"/>
              <a:ext cx="409575" cy="3905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</xdr:grp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CxnSpPr/>
        </xdr:nvCxnSpPr>
        <xdr:spPr>
          <a:xfrm>
            <a:off x="4295775" y="8467725"/>
            <a:ext cx="533400" cy="9525"/>
          </a:xfrm>
          <a:prstGeom prst="line">
            <a:avLst/>
          </a:prstGeom>
          <a:ln w="28575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34" name="Straight Connector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CxnSpPr/>
        </xdr:nvCxnSpPr>
        <xdr:spPr>
          <a:xfrm flipV="1">
            <a:off x="4829175" y="8486775"/>
            <a:ext cx="0" cy="352425"/>
          </a:xfrm>
          <a:prstGeom prst="line">
            <a:avLst/>
          </a:prstGeom>
          <a:ln w="28575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38100</xdr:colOff>
      <xdr:row>8</xdr:row>
      <xdr:rowOff>409575</xdr:rowOff>
    </xdr:from>
    <xdr:to>
      <xdr:col>6</xdr:col>
      <xdr:colOff>9525</xdr:colOff>
      <xdr:row>9</xdr:row>
      <xdr:rowOff>295275</xdr:rowOff>
    </xdr:to>
    <xdr:sp macro="" textlink="">
      <xdr:nvSpPr>
        <xdr:cNvPr id="168" name="Arrow: Right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4505325" y="2571750"/>
          <a:ext cx="1066800" cy="323850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19050</xdr:colOff>
      <xdr:row>9</xdr:row>
      <xdr:rowOff>28575</xdr:rowOff>
    </xdr:from>
    <xdr:to>
      <xdr:col>2</xdr:col>
      <xdr:colOff>66675</xdr:colOff>
      <xdr:row>9</xdr:row>
      <xdr:rowOff>352425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900994" y="2886075"/>
          <a:ext cx="1952625" cy="323850"/>
          <a:chOff x="885825" y="2581275"/>
          <a:chExt cx="1123950" cy="323850"/>
        </a:xfrm>
      </xdr:grpSpPr>
      <xdr:sp macro="" textlink="">
        <xdr:nvSpPr>
          <xdr:cNvPr id="169" name="Arrow: Right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/>
        </xdr:nvSpPr>
        <xdr:spPr>
          <a:xfrm>
            <a:off x="914400" y="2581275"/>
            <a:ext cx="1066800" cy="323850"/>
          </a:xfrm>
          <a:prstGeom prst="rightArrow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79" name="Group 178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GrpSpPr/>
        </xdr:nvGrpSpPr>
        <xdr:grpSpPr>
          <a:xfrm>
            <a:off x="885825" y="2609850"/>
            <a:ext cx="1123950" cy="276225"/>
            <a:chOff x="885825" y="2609850"/>
            <a:chExt cx="1123950" cy="276225"/>
          </a:xfrm>
        </xdr:grpSpPr>
        <xdr:sp macro="" textlink="">
          <xdr:nvSpPr>
            <xdr:cNvPr id="172" name="Rectangle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190625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8858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4" name="Rectangle 173">
              <a:extLst>
                <a:ext uri="{FF2B5EF4-FFF2-40B4-BE49-F238E27FC236}">
                  <a16:creationId xmlns:a16="http://schemas.microsoft.com/office/drawing/2014/main" id="{00000000-0008-0000-0000-0000AE000000}"/>
                </a:ext>
              </a:extLst>
            </xdr:cNvPr>
            <xdr:cNvSpPr/>
          </xdr:nvSpPr>
          <xdr:spPr>
            <a:xfrm>
              <a:off x="10382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5" name="Rectangle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SpPr/>
          </xdr:nvSpPr>
          <xdr:spPr>
            <a:xfrm>
              <a:off x="132397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6" name="Rectangle 175">
              <a:extLst>
                <a:ext uri="{FF2B5EF4-FFF2-40B4-BE49-F238E27FC236}">
                  <a16:creationId xmlns:a16="http://schemas.microsoft.com/office/drawing/2014/main" id="{00000000-0008-0000-0000-0000B0000000}"/>
                </a:ext>
              </a:extLst>
            </xdr:cNvPr>
            <xdr:cNvSpPr/>
          </xdr:nvSpPr>
          <xdr:spPr>
            <a:xfrm>
              <a:off x="148590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7" name="Rectangle 176">
              <a:extLst>
                <a:ext uri="{FF2B5EF4-FFF2-40B4-BE49-F238E27FC236}">
                  <a16:creationId xmlns:a16="http://schemas.microsoft.com/office/drawing/2014/main" id="{00000000-0008-0000-0000-0000B1000000}"/>
                </a:ext>
              </a:extLst>
            </xdr:cNvPr>
            <xdr:cNvSpPr/>
          </xdr:nvSpPr>
          <xdr:spPr>
            <a:xfrm>
              <a:off x="165735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8" name="Isosceles Triangle 177">
              <a:extLst>
                <a:ext uri="{FF2B5EF4-FFF2-40B4-BE49-F238E27FC236}">
                  <a16:creationId xmlns:a16="http://schemas.microsoft.com/office/drawing/2014/main" id="{00000000-0008-0000-0000-0000B2000000}"/>
                </a:ext>
              </a:extLst>
            </xdr:cNvPr>
            <xdr:cNvSpPr/>
          </xdr:nvSpPr>
          <xdr:spPr>
            <a:xfrm rot="5400000">
              <a:off x="1776412" y="2652713"/>
              <a:ext cx="276225" cy="190500"/>
            </a:xfrm>
            <a:prstGeom prst="triangle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</xdr:col>
      <xdr:colOff>533400</xdr:colOff>
      <xdr:row>29</xdr:row>
      <xdr:rowOff>371475</xdr:rowOff>
    </xdr:from>
    <xdr:to>
      <xdr:col>6</xdr:col>
      <xdr:colOff>304800</xdr:colOff>
      <xdr:row>33</xdr:row>
      <xdr:rowOff>28575</xdr:rowOff>
    </xdr:to>
    <xdr:grpSp>
      <xdr:nvGrpSpPr>
        <xdr:cNvPr id="187" name="Group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GrpSpPr/>
      </xdr:nvGrpSpPr>
      <xdr:grpSpPr>
        <a:xfrm>
          <a:off x="5084233" y="12365919"/>
          <a:ext cx="1817511" cy="1491545"/>
          <a:chOff x="3810000" y="12211050"/>
          <a:chExt cx="1714500" cy="1409700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/>
        </xdr:nvSpPr>
        <xdr:spPr>
          <a:xfrm>
            <a:off x="3819525" y="12211050"/>
            <a:ext cx="1704975" cy="14097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5" name="Rectangle 184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SpPr/>
        </xdr:nvSpPr>
        <xdr:spPr>
          <a:xfrm>
            <a:off x="3810000" y="12220574"/>
            <a:ext cx="1714500" cy="3905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800"/>
              <a:t>Production</a:t>
            </a:r>
            <a:r>
              <a:rPr lang="fr-FR" sz="800" baseline="0"/>
              <a:t> Control</a:t>
            </a:r>
            <a:endParaRPr lang="fr-FR" sz="800"/>
          </a:p>
        </xdr:txBody>
      </xdr:sp>
    </xdr:grpSp>
    <xdr:clientData/>
  </xdr:twoCellAnchor>
  <xdr:twoCellAnchor>
    <xdr:from>
      <xdr:col>4</xdr:col>
      <xdr:colOff>561975</xdr:colOff>
      <xdr:row>34</xdr:row>
      <xdr:rowOff>428625</xdr:rowOff>
    </xdr:from>
    <xdr:to>
      <xdr:col>6</xdr:col>
      <xdr:colOff>333375</xdr:colOff>
      <xdr:row>38</xdr:row>
      <xdr:rowOff>85725</xdr:rowOff>
    </xdr:to>
    <xdr:grpSp>
      <xdr:nvGrpSpPr>
        <xdr:cNvPr id="191" name="Group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GrpSpPr/>
      </xdr:nvGrpSpPr>
      <xdr:grpSpPr>
        <a:xfrm>
          <a:off x="5112808" y="14716125"/>
          <a:ext cx="1817511" cy="1491544"/>
          <a:chOff x="600075" y="7658100"/>
          <a:chExt cx="1714500" cy="1409700"/>
        </a:xfrm>
      </xdr:grpSpPr>
      <xdr:grpSp>
        <xdr:nvGrpSpPr>
          <xdr:cNvPr id="192" name="Group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194" name="Rectangle 193">
              <a:extLst>
                <a:ext uri="{FF2B5EF4-FFF2-40B4-BE49-F238E27FC236}">
                  <a16:creationId xmlns:a16="http://schemas.microsoft.com/office/drawing/2014/main" id="{00000000-0008-0000-0000-0000C200000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5" name="Rectangle 194">
              <a:extLst>
                <a:ext uri="{FF2B5EF4-FFF2-40B4-BE49-F238E27FC236}">
                  <a16:creationId xmlns:a16="http://schemas.microsoft.com/office/drawing/2014/main" id="{00000000-0008-0000-0000-0000C3000000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6" name="Oval 195">
              <a:extLst>
                <a:ext uri="{FF2B5EF4-FFF2-40B4-BE49-F238E27FC236}">
                  <a16:creationId xmlns:a16="http://schemas.microsoft.com/office/drawing/2014/main" id="{00000000-0008-0000-0000-0000C4000000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3" name="Freeform: Shape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114300</xdr:colOff>
      <xdr:row>35</xdr:row>
      <xdr:rowOff>428625</xdr:rowOff>
    </xdr:from>
    <xdr:to>
      <xdr:col>6</xdr:col>
      <xdr:colOff>19050</xdr:colOff>
      <xdr:row>36</xdr:row>
      <xdr:rowOff>85725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4581525" y="14420850"/>
          <a:ext cx="1000125" cy="952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114300</xdr:colOff>
      <xdr:row>36</xdr:row>
      <xdr:rowOff>14290</xdr:rowOff>
    </xdr:from>
    <xdr:to>
      <xdr:col>5</xdr:col>
      <xdr:colOff>214313</xdr:colOff>
      <xdr:row>37</xdr:row>
      <xdr:rowOff>171454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>
          <a:off x="4333875" y="14692315"/>
          <a:ext cx="595314" cy="100013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1009650</xdr:colOff>
      <xdr:row>35</xdr:row>
      <xdr:rowOff>433391</xdr:rowOff>
    </xdr:from>
    <xdr:to>
      <xdr:col>6</xdr:col>
      <xdr:colOff>14288</xdr:colOff>
      <xdr:row>37</xdr:row>
      <xdr:rowOff>152405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>
          <a:off x="5229225" y="14673266"/>
          <a:ext cx="595314" cy="100013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390525</xdr:colOff>
      <xdr:row>36</xdr:row>
      <xdr:rowOff>133350</xdr:rowOff>
    </xdr:from>
    <xdr:to>
      <xdr:col>5</xdr:col>
      <xdr:colOff>495300</xdr:colOff>
      <xdr:row>36</xdr:row>
      <xdr:rowOff>247650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4857750" y="14563725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685800</xdr:colOff>
      <xdr:row>36</xdr:row>
      <xdr:rowOff>133350</xdr:rowOff>
    </xdr:from>
    <xdr:to>
      <xdr:col>5</xdr:col>
      <xdr:colOff>790575</xdr:colOff>
      <xdr:row>36</xdr:row>
      <xdr:rowOff>247650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5153025" y="14563725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295275</xdr:colOff>
      <xdr:row>36</xdr:row>
      <xdr:rowOff>352425</xdr:rowOff>
    </xdr:from>
    <xdr:to>
      <xdr:col>5</xdr:col>
      <xdr:colOff>400050</xdr:colOff>
      <xdr:row>37</xdr:row>
      <xdr:rowOff>28575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4762500" y="14782800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809625</xdr:colOff>
      <xdr:row>36</xdr:row>
      <xdr:rowOff>352425</xdr:rowOff>
    </xdr:from>
    <xdr:to>
      <xdr:col>5</xdr:col>
      <xdr:colOff>914400</xdr:colOff>
      <xdr:row>37</xdr:row>
      <xdr:rowOff>28575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>
          <a:off x="5276850" y="14782800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533400</xdr:colOff>
      <xdr:row>36</xdr:row>
      <xdr:rowOff>352425</xdr:rowOff>
    </xdr:from>
    <xdr:to>
      <xdr:col>5</xdr:col>
      <xdr:colOff>723900</xdr:colOff>
      <xdr:row>37</xdr:row>
      <xdr:rowOff>38100</xdr:rowOff>
    </xdr:to>
    <xdr:sp macro="" textlink="">
      <xdr:nvSpPr>
        <xdr:cNvPr id="204" name="Arrow: Curved Down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5000625" y="14782800"/>
          <a:ext cx="190500" cy="123825"/>
        </a:xfrm>
        <a:prstGeom prst="curvedDownArrow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571500</xdr:colOff>
      <xdr:row>35</xdr:row>
      <xdr:rowOff>57150</xdr:rowOff>
    </xdr:from>
    <xdr:to>
      <xdr:col>2</xdr:col>
      <xdr:colOff>390525</xdr:colOff>
      <xdr:row>38</xdr:row>
      <xdr:rowOff>152400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GrpSpPr/>
      </xdr:nvGrpSpPr>
      <xdr:grpSpPr>
        <a:xfrm>
          <a:off x="571500" y="14803261"/>
          <a:ext cx="2605969" cy="1471083"/>
          <a:chOff x="266700" y="14344650"/>
          <a:chExt cx="1743075" cy="1314450"/>
        </a:xfrm>
      </xdr:grpSpPr>
      <xdr:sp macro="" textlink="">
        <xdr:nvSpPr>
          <xdr:cNvPr id="206" name="Rectangle 20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05" name="Arc 26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0</xdr:col>
      <xdr:colOff>523875</xdr:colOff>
      <xdr:row>39</xdr:row>
      <xdr:rowOff>390525</xdr:rowOff>
    </xdr:from>
    <xdr:to>
      <xdr:col>2</xdr:col>
      <xdr:colOff>342900</xdr:colOff>
      <xdr:row>43</xdr:row>
      <xdr:rowOff>47625</xdr:rowOff>
    </xdr:to>
    <xdr:grpSp>
      <xdr:nvGrpSpPr>
        <xdr:cNvPr id="212" name="Group 21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GrpSpPr/>
      </xdr:nvGrpSpPr>
      <xdr:grpSpPr>
        <a:xfrm>
          <a:off x="523875" y="16971081"/>
          <a:ext cx="2605969" cy="1491544"/>
          <a:chOff x="457200" y="15859125"/>
          <a:chExt cx="1743075" cy="1409700"/>
        </a:xfrm>
      </xdr:grpSpPr>
      <xdr:sp macro="" textlink="">
        <xdr:nvSpPr>
          <xdr:cNvPr id="210" name="Rectangle 209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SpPr/>
        </xdr:nvSpPr>
        <xdr:spPr>
          <a:xfrm>
            <a:off x="457200" y="158591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208" name="Graphic 173">
            <a:extLst>
              <a:ext uri="{FF2B5EF4-FFF2-40B4-BE49-F238E27FC236}">
                <a16:creationId xmlns:a16="http://schemas.microsoft.com/office/drawing/2014/main" id="{00000000-0008-0000-0000-0000D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33425" y="16240125"/>
            <a:ext cx="1095375" cy="6858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552450</xdr:colOff>
      <xdr:row>39</xdr:row>
      <xdr:rowOff>381000</xdr:rowOff>
    </xdr:from>
    <xdr:to>
      <xdr:col>6</xdr:col>
      <xdr:colOff>352425</xdr:colOff>
      <xdr:row>43</xdr:row>
      <xdr:rowOff>38100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GrpSpPr/>
      </xdr:nvGrpSpPr>
      <xdr:grpSpPr>
        <a:xfrm>
          <a:off x="5103283" y="16961556"/>
          <a:ext cx="1846086" cy="1491544"/>
          <a:chOff x="3733800" y="16354425"/>
          <a:chExt cx="1743075" cy="1409700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213" name="Group 212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214" name="Line 11">
              <a:extLst>
                <a:ext uri="{FF2B5EF4-FFF2-40B4-BE49-F238E27FC236}">
                  <a16:creationId xmlns:a16="http://schemas.microsoft.com/office/drawing/2014/main" id="{00000000-0008-0000-0000-0000D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5" name="Line 12">
              <a:extLst>
                <a:ext uri="{FF2B5EF4-FFF2-40B4-BE49-F238E27FC236}">
                  <a16:creationId xmlns:a16="http://schemas.microsoft.com/office/drawing/2014/main" id="{00000000-0008-0000-0000-0000D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6" name="Line 13">
              <a:extLst>
                <a:ext uri="{FF2B5EF4-FFF2-40B4-BE49-F238E27FC236}">
                  <a16:creationId xmlns:a16="http://schemas.microsoft.com/office/drawing/2014/main" id="{00000000-0008-0000-0000-0000D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7" name="Line 14">
              <a:extLst>
                <a:ext uri="{FF2B5EF4-FFF2-40B4-BE49-F238E27FC236}">
                  <a16:creationId xmlns:a16="http://schemas.microsoft.com/office/drawing/2014/main" id="{00000000-0008-0000-0000-0000D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8" name="Line 15">
              <a:extLst>
                <a:ext uri="{FF2B5EF4-FFF2-40B4-BE49-F238E27FC236}">
                  <a16:creationId xmlns:a16="http://schemas.microsoft.com/office/drawing/2014/main" id="{00000000-0008-0000-0000-0000D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4</xdr:col>
      <xdr:colOff>523875</xdr:colOff>
      <xdr:row>44</xdr:row>
      <xdr:rowOff>419100</xdr:rowOff>
    </xdr:from>
    <xdr:to>
      <xdr:col>6</xdr:col>
      <xdr:colOff>323850</xdr:colOff>
      <xdr:row>48</xdr:row>
      <xdr:rowOff>76200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5074708" y="19292711"/>
          <a:ext cx="1846086" cy="1491545"/>
          <a:chOff x="4152900" y="18545175"/>
          <a:chExt cx="1743075" cy="1409700"/>
        </a:xfrm>
      </xdr:grpSpPr>
      <xdr:sp macro="" textlink="">
        <xdr:nvSpPr>
          <xdr:cNvPr id="227" name="Rectangle 226">
            <a:extLst>
              <a:ext uri="{FF2B5EF4-FFF2-40B4-BE49-F238E27FC236}">
                <a16:creationId xmlns:a16="http://schemas.microsoft.com/office/drawing/2014/main" id="{00000000-0008-0000-0000-0000E3000000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252" name="Group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249" name="Group 248">
              <a:extLst>
                <a:ext uri="{FF2B5EF4-FFF2-40B4-BE49-F238E27FC236}">
                  <a16:creationId xmlns:a16="http://schemas.microsoft.com/office/drawing/2014/main" id="{00000000-0008-0000-0000-0000F9000000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000-0000F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241" name="Line 11">
                  <a:extLst>
                    <a:ext uri="{FF2B5EF4-FFF2-40B4-BE49-F238E27FC236}">
                      <a16:creationId xmlns:a16="http://schemas.microsoft.com/office/drawing/2014/main" id="{00000000-0008-0000-0000-0000F1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2" name="Line 12">
                  <a:extLst>
                    <a:ext uri="{FF2B5EF4-FFF2-40B4-BE49-F238E27FC236}">
                      <a16:creationId xmlns:a16="http://schemas.microsoft.com/office/drawing/2014/main" id="{00000000-0008-0000-0000-0000F2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3" name="Line 13">
                  <a:extLst>
                    <a:ext uri="{FF2B5EF4-FFF2-40B4-BE49-F238E27FC236}">
                      <a16:creationId xmlns:a16="http://schemas.microsoft.com/office/drawing/2014/main" id="{00000000-0008-0000-0000-0000F3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4" name="Line 14">
                  <a:extLst>
                    <a:ext uri="{FF2B5EF4-FFF2-40B4-BE49-F238E27FC236}">
                      <a16:creationId xmlns:a16="http://schemas.microsoft.com/office/drawing/2014/main" id="{00000000-0008-0000-0000-0000F4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5" name="Line 15">
                  <a:extLst>
                    <a:ext uri="{FF2B5EF4-FFF2-40B4-BE49-F238E27FC236}">
                      <a16:creationId xmlns:a16="http://schemas.microsoft.com/office/drawing/2014/main" id="{00000000-0008-0000-0000-0000F5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247" name="Straight Connector 246">
                <a:extLst>
                  <a:ext uri="{FF2B5EF4-FFF2-40B4-BE49-F238E27FC236}">
                    <a16:creationId xmlns:a16="http://schemas.microsoft.com/office/drawing/2014/main" id="{00000000-0008-0000-0000-0000F7000000}"/>
                  </a:ext>
                </a:extLst>
              </xdr:cNvPr>
              <xdr:cNvCxnSpPr>
                <a:stCxn id="245" idx="1"/>
                <a:endCxn id="242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50" name="Rectangle 249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0</xdr:col>
      <xdr:colOff>487198</xdr:colOff>
      <xdr:row>45</xdr:row>
      <xdr:rowOff>21130</xdr:rowOff>
    </xdr:from>
    <xdr:to>
      <xdr:col>2</xdr:col>
      <xdr:colOff>306223</xdr:colOff>
      <xdr:row>48</xdr:row>
      <xdr:rowOff>127110</xdr:rowOff>
    </xdr:to>
    <xdr:grpSp>
      <xdr:nvGrpSpPr>
        <xdr:cNvPr id="287" name="Group 286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GrpSpPr/>
      </xdr:nvGrpSpPr>
      <xdr:grpSpPr>
        <a:xfrm>
          <a:off x="487198" y="19353352"/>
          <a:ext cx="2605969" cy="1481814"/>
          <a:chOff x="504825" y="18364200"/>
          <a:chExt cx="1743075" cy="1409700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000-00000F010000}"/>
              </a:ext>
            </a:extLst>
          </xdr:cNvPr>
          <xdr:cNvSpPr/>
        </xdr:nvSpPr>
        <xdr:spPr>
          <a:xfrm>
            <a:off x="504825" y="183642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79" name="Straight Connector 278"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CxnSpPr/>
        </xdr:nvCxnSpPr>
        <xdr:spPr>
          <a:xfrm flipV="1">
            <a:off x="628650" y="18849975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000-000018010000}"/>
              </a:ext>
            </a:extLst>
          </xdr:cNvPr>
          <xdr:cNvCxnSpPr/>
        </xdr:nvCxnSpPr>
        <xdr:spPr>
          <a:xfrm flipV="1">
            <a:off x="628650" y="19316700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1" name="Straight Connector 280">
            <a:extLst>
              <a:ext uri="{FF2B5EF4-FFF2-40B4-BE49-F238E27FC236}">
                <a16:creationId xmlns:a16="http://schemas.microsoft.com/office/drawing/2014/main" id="{00000000-0008-0000-0000-000019010000}"/>
              </a:ext>
            </a:extLst>
          </xdr:cNvPr>
          <xdr:cNvCxnSpPr/>
        </xdr:nvCxnSpPr>
        <xdr:spPr>
          <a:xfrm>
            <a:off x="619125" y="19078575"/>
            <a:ext cx="42862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000-00001C010000}"/>
              </a:ext>
            </a:extLst>
          </xdr:cNvPr>
          <xdr:cNvCxnSpPr/>
        </xdr:nvCxnSpPr>
        <xdr:spPr>
          <a:xfrm>
            <a:off x="1685925" y="19069050"/>
            <a:ext cx="428625" cy="0"/>
          </a:xfrm>
          <a:prstGeom prst="line">
            <a:avLst/>
          </a:prstGeom>
          <a:ln>
            <a:tailEnd type="stealth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85" name="Rectangle 284">
            <a:extLst>
              <a:ext uri="{FF2B5EF4-FFF2-40B4-BE49-F238E27FC236}">
                <a16:creationId xmlns:a16="http://schemas.microsoft.com/office/drawing/2014/main" id="{00000000-0008-0000-0000-00001D010000}"/>
              </a:ext>
            </a:extLst>
          </xdr:cNvPr>
          <xdr:cNvSpPr/>
        </xdr:nvSpPr>
        <xdr:spPr>
          <a:xfrm>
            <a:off x="1171575" y="18926175"/>
            <a:ext cx="571500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FIFO</a:t>
            </a:r>
          </a:p>
        </xdr:txBody>
      </xdr:sp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704850" y="18621375"/>
            <a:ext cx="57150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MAX</a:t>
            </a:r>
            <a:r>
              <a:rPr lang="fr-FR" sz="1100" baseline="0"/>
              <a:t> =</a:t>
            </a:r>
            <a:endParaRPr lang="fr-FR" sz="1100"/>
          </a:p>
        </xdr:txBody>
      </xdr:sp>
    </xdr:grpSp>
    <xdr:clientData/>
  </xdr:twoCellAnchor>
  <xdr:twoCellAnchor>
    <xdr:from>
      <xdr:col>1</xdr:col>
      <xdr:colOff>180975</xdr:colOff>
      <xdr:row>51</xdr:row>
      <xdr:rowOff>114300</xdr:rowOff>
    </xdr:from>
    <xdr:to>
      <xdr:col>1</xdr:col>
      <xdr:colOff>190500</xdr:colOff>
      <xdr:row>52</xdr:row>
      <xdr:rowOff>57150</xdr:rowOff>
    </xdr:to>
    <xdr:cxnSp macro="">
      <xdr:nvCxnSpPr>
        <xdr:cNvPr id="300" name="Straight Connector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CxnSpPr>
          <a:stCxn id="290" idx="4"/>
        </xdr:cNvCxnSpPr>
      </xdr:nvCxnSpPr>
      <xdr:spPr>
        <a:xfrm>
          <a:off x="1028700" y="21116925"/>
          <a:ext cx="9525" cy="38100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495300</xdr:colOff>
      <xdr:row>54</xdr:row>
      <xdr:rowOff>323850</xdr:rowOff>
    </xdr:from>
    <xdr:to>
      <xdr:col>2</xdr:col>
      <xdr:colOff>314325</xdr:colOff>
      <xdr:row>57</xdr:row>
      <xdr:rowOff>419100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GrpSpPr/>
      </xdr:nvGrpSpPr>
      <xdr:grpSpPr>
        <a:xfrm>
          <a:off x="495300" y="24841906"/>
          <a:ext cx="2605969" cy="1471083"/>
          <a:chOff x="4076700" y="22860000"/>
          <a:chExt cx="1743075" cy="1409700"/>
        </a:xfrm>
      </xdr:grpSpPr>
      <xdr:sp macro="" textlink="">
        <xdr:nvSpPr>
          <xdr:cNvPr id="339" name="Rectangle 338">
            <a:extLst>
              <a:ext uri="{FF2B5EF4-FFF2-40B4-BE49-F238E27FC236}">
                <a16:creationId xmlns:a16="http://schemas.microsoft.com/office/drawing/2014/main" id="{00000000-0008-0000-0000-000053010000}"/>
              </a:ext>
            </a:extLst>
          </xdr:cNvPr>
          <xdr:cNvSpPr/>
        </xdr:nvSpPr>
        <xdr:spPr>
          <a:xfrm>
            <a:off x="4076700" y="228600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37" name="Picture 336"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467225" y="23202900"/>
            <a:ext cx="971551" cy="81942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542925</xdr:colOff>
      <xdr:row>49</xdr:row>
      <xdr:rowOff>352425</xdr:rowOff>
    </xdr:from>
    <xdr:to>
      <xdr:col>6</xdr:col>
      <xdr:colOff>342900</xdr:colOff>
      <xdr:row>53</xdr:row>
      <xdr:rowOff>9525</xdr:rowOff>
    </xdr:to>
    <xdr:grpSp>
      <xdr:nvGrpSpPr>
        <xdr:cNvPr id="353" name="Group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GrpSpPr/>
      </xdr:nvGrpSpPr>
      <xdr:grpSpPr>
        <a:xfrm>
          <a:off x="5093758" y="21519092"/>
          <a:ext cx="1846086" cy="2549877"/>
          <a:chOff x="4076700" y="20631150"/>
          <a:chExt cx="1743075" cy="1409700"/>
        </a:xfrm>
      </xdr:grpSpPr>
      <xdr:sp macro="" textlink="">
        <xdr:nvSpPr>
          <xdr:cNvPr id="321" name="Rectangl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19" name="Picture 318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ln>
            <a:noFill/>
          </a:ln>
        </xdr:spPr>
      </xdr:pic>
      <xdr:grpSp>
        <xdr:nvGrpSpPr>
          <xdr:cNvPr id="341" name="Group 340">
            <a:extLst>
              <a:ext uri="{FF2B5EF4-FFF2-40B4-BE49-F238E27FC236}">
                <a16:creationId xmlns:a16="http://schemas.microsoft.com/office/drawing/2014/main" id="{00000000-0008-0000-0000-000055010000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</xdr:grpSpPr>
        <xdr:sp macro="" textlink="">
          <xdr:nvSpPr>
            <xdr:cNvPr id="342" name="Rectangle 80">
              <a:extLst>
                <a:ext uri="{FF2B5EF4-FFF2-40B4-BE49-F238E27FC236}">
                  <a16:creationId xmlns:a16="http://schemas.microsoft.com/office/drawing/2014/main" id="{00000000-0008-0000-0000-00005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noFill/>
            <a:ln w="28575" algn="ctr">
              <a:solidFill>
                <a:schemeClr val="tx1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343" name="Graphic 13">
              <a:extLst>
                <a:ext uri="{FF2B5EF4-FFF2-40B4-BE49-F238E27FC236}">
                  <a16:creationId xmlns:a16="http://schemas.microsoft.com/office/drawing/2014/main" id="{00000000-0008-0000-0000-000057010000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noFill/>
          </xdr:grpSpPr>
          <xdr:sp macro="" textlink="">
            <xdr:nvSpPr>
              <xdr:cNvPr id="344" name="Freeform: Shape 343">
                <a:extLst>
                  <a:ext uri="{FF2B5EF4-FFF2-40B4-BE49-F238E27FC236}">
                    <a16:creationId xmlns:a16="http://schemas.microsoft.com/office/drawing/2014/main" id="{00000000-0008-0000-0000-000058010000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no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345" name="Graphic 13">
                <a:extLst>
                  <a:ext uri="{FF2B5EF4-FFF2-40B4-BE49-F238E27FC236}">
                    <a16:creationId xmlns:a16="http://schemas.microsoft.com/office/drawing/2014/main" id="{00000000-0008-0000-0000-000059010000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</xdr:grpSpPr>
            <xdr:sp macro="" textlink="">
              <xdr:nvSpPr>
                <xdr:cNvPr id="351" name="Freeform: Shape 350">
                  <a:extLst>
                    <a:ext uri="{FF2B5EF4-FFF2-40B4-BE49-F238E27FC236}">
                      <a16:creationId xmlns:a16="http://schemas.microsoft.com/office/drawing/2014/main" id="{00000000-0008-0000-0000-00005F01000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52" name="Freeform: Shape 351">
                  <a:extLst>
                    <a:ext uri="{FF2B5EF4-FFF2-40B4-BE49-F238E27FC236}">
                      <a16:creationId xmlns:a16="http://schemas.microsoft.com/office/drawing/2014/main" id="{00000000-0008-0000-0000-000060010000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346" name="Graphic 13">
                <a:extLst>
                  <a:ext uri="{FF2B5EF4-FFF2-40B4-BE49-F238E27FC236}">
                    <a16:creationId xmlns:a16="http://schemas.microsoft.com/office/drawing/2014/main" id="{00000000-0008-0000-0000-00005A010000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</xdr:grpSpPr>
            <xdr:sp macro="" textlink="">
              <xdr:nvSpPr>
                <xdr:cNvPr id="349" name="Freeform: Shape 348">
                  <a:extLst>
                    <a:ext uri="{FF2B5EF4-FFF2-40B4-BE49-F238E27FC236}">
                      <a16:creationId xmlns:a16="http://schemas.microsoft.com/office/drawing/2014/main" id="{00000000-0008-0000-0000-00005D010000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50" name="Freeform: Shape 349">
                  <a:extLst>
                    <a:ext uri="{FF2B5EF4-FFF2-40B4-BE49-F238E27FC236}">
                      <a16:creationId xmlns:a16="http://schemas.microsoft.com/office/drawing/2014/main" id="{00000000-0008-0000-0000-00005E010000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347" name="Freeform: Shape 346">
                <a:extLst>
                  <a:ext uri="{FF2B5EF4-FFF2-40B4-BE49-F238E27FC236}">
                    <a16:creationId xmlns:a16="http://schemas.microsoft.com/office/drawing/2014/main" id="{00000000-0008-0000-0000-00005B010000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348" name="Freeform: Shape 347">
                <a:extLst>
                  <a:ext uri="{FF2B5EF4-FFF2-40B4-BE49-F238E27FC236}">
                    <a16:creationId xmlns:a16="http://schemas.microsoft.com/office/drawing/2014/main" id="{00000000-0008-0000-0000-00005C010000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4</xdr:col>
      <xdr:colOff>527050</xdr:colOff>
      <xdr:row>54</xdr:row>
      <xdr:rowOff>342900</xdr:rowOff>
    </xdr:from>
    <xdr:to>
      <xdr:col>6</xdr:col>
      <xdr:colOff>327025</xdr:colOff>
      <xdr:row>58</xdr:row>
      <xdr:rowOff>0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GrpSpPr/>
      </xdr:nvGrpSpPr>
      <xdr:grpSpPr>
        <a:xfrm>
          <a:off x="5077883" y="24860956"/>
          <a:ext cx="1846086" cy="1491544"/>
          <a:chOff x="4143375" y="22631400"/>
          <a:chExt cx="1743075" cy="1409700"/>
        </a:xfrm>
      </xdr:grpSpPr>
      <xdr:sp macro="" textlink="">
        <xdr:nvSpPr>
          <xdr:cNvPr id="357" name="Rectangle 356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/>
        </xdr:nvSpPr>
        <xdr:spPr>
          <a:xfrm>
            <a:off x="4143375" y="226314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55" name="Picture 354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591050" y="23060025"/>
            <a:ext cx="895350" cy="55266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447675</xdr:colOff>
      <xdr:row>60</xdr:row>
      <xdr:rowOff>0</xdr:rowOff>
    </xdr:from>
    <xdr:to>
      <xdr:col>2</xdr:col>
      <xdr:colOff>266700</xdr:colOff>
      <xdr:row>63</xdr:row>
      <xdr:rowOff>95250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GrpSpPr/>
      </xdr:nvGrpSpPr>
      <xdr:grpSpPr>
        <a:xfrm>
          <a:off x="447675" y="27269722"/>
          <a:ext cx="2605969" cy="1471084"/>
          <a:chOff x="447675" y="24945975"/>
          <a:chExt cx="1743075" cy="1409700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000-000069010000}"/>
              </a:ext>
            </a:extLst>
          </xdr:cNvPr>
          <xdr:cNvSpPr/>
        </xdr:nvSpPr>
        <xdr:spPr>
          <a:xfrm>
            <a:off x="447675" y="2494597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63" name="Graphique 2" descr="Enveloppe contour">
            <a:extLst>
              <a:ext uri="{FF2B5EF4-FFF2-40B4-BE49-F238E27FC236}">
                <a16:creationId xmlns:a16="http://schemas.microsoft.com/office/drawing/2014/main" id="{00000000-0008-0000-0000-00006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57250" y="25174575"/>
            <a:ext cx="922276" cy="8750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590550</xdr:colOff>
      <xdr:row>59</xdr:row>
      <xdr:rowOff>381000</xdr:rowOff>
    </xdr:from>
    <xdr:to>
      <xdr:col>6</xdr:col>
      <xdr:colOff>390525</xdr:colOff>
      <xdr:row>63</xdr:row>
      <xdr:rowOff>38100</xdr:rowOff>
    </xdr:to>
    <xdr:grpSp>
      <xdr:nvGrpSpPr>
        <xdr:cNvPr id="371" name="Group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GrpSpPr/>
      </xdr:nvGrpSpPr>
      <xdr:grpSpPr>
        <a:xfrm>
          <a:off x="5141383" y="27192111"/>
          <a:ext cx="1846086" cy="1491545"/>
          <a:chOff x="4181475" y="24850725"/>
          <a:chExt cx="1743075" cy="1409700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000-00006C010000}"/>
              </a:ext>
            </a:extLst>
          </xdr:cNvPr>
          <xdr:cNvSpPr/>
        </xdr:nvSpPr>
        <xdr:spPr>
          <a:xfrm>
            <a:off x="4181475" y="248507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000-00006F010000}"/>
              </a:ext>
            </a:extLst>
          </xdr:cNvPr>
          <xdr:cNvSpPr/>
        </xdr:nvSpPr>
        <xdr:spPr>
          <a:xfrm>
            <a:off x="4410075" y="24993601"/>
            <a:ext cx="1285875" cy="876300"/>
          </a:xfrm>
          <a:prstGeom prst="rect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8" name="Rectangle 367">
            <a:extLst>
              <a:ext uri="{FF2B5EF4-FFF2-40B4-BE49-F238E27FC236}">
                <a16:creationId xmlns:a16="http://schemas.microsoft.com/office/drawing/2014/main" id="{00000000-0008-0000-0000-000070010000}"/>
              </a:ext>
            </a:extLst>
          </xdr:cNvPr>
          <xdr:cNvSpPr/>
        </xdr:nvSpPr>
        <xdr:spPr>
          <a:xfrm>
            <a:off x="4267200" y="25879425"/>
            <a:ext cx="1571625" cy="276225"/>
          </a:xfrm>
          <a:prstGeom prst="rect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chemeClr val="tx1"/>
                </a:solidFill>
              </a:rPr>
              <a:t>Fax</a:t>
            </a:r>
          </a:p>
        </xdr:txBody>
      </xdr:sp>
      <xdr:sp macro="" textlink="">
        <xdr:nvSpPr>
          <xdr:cNvPr id="369" name="Rectangle 368">
            <a:extLst>
              <a:ext uri="{FF2B5EF4-FFF2-40B4-BE49-F238E27FC236}">
                <a16:creationId xmlns:a16="http://schemas.microsoft.com/office/drawing/2014/main" id="{00000000-0008-0000-0000-000071010000}"/>
              </a:ext>
            </a:extLst>
          </xdr:cNvPr>
          <xdr:cNvSpPr/>
        </xdr:nvSpPr>
        <xdr:spPr>
          <a:xfrm>
            <a:off x="5524500" y="24993600"/>
            <a:ext cx="161925" cy="161925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504825</xdr:colOff>
      <xdr:row>64</xdr:row>
      <xdr:rowOff>361950</xdr:rowOff>
    </xdr:from>
    <xdr:to>
      <xdr:col>2</xdr:col>
      <xdr:colOff>323850</xdr:colOff>
      <xdr:row>68</xdr:row>
      <xdr:rowOff>19050</xdr:rowOff>
    </xdr:to>
    <xdr:sp macro="" textlink="">
      <xdr:nvSpPr>
        <xdr:cNvPr id="372" name="Rectangle 37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>
          <a:off x="504825" y="27060525"/>
          <a:ext cx="1743075" cy="14097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666750</xdr:colOff>
      <xdr:row>65</xdr:row>
      <xdr:rowOff>104775</xdr:rowOff>
    </xdr:from>
    <xdr:to>
      <xdr:col>2</xdr:col>
      <xdr:colOff>180975</xdr:colOff>
      <xdr:row>67</xdr:row>
      <xdr:rowOff>333375</xdr:rowOff>
    </xdr:to>
    <xdr:sp macro="" textlink="">
      <xdr:nvSpPr>
        <xdr:cNvPr id="373" name="Rectangle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>
          <a:off x="666750" y="27241500"/>
          <a:ext cx="1438275" cy="1104900"/>
        </a:xfrm>
        <a:prstGeom prst="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571500</xdr:colOff>
      <xdr:row>64</xdr:row>
      <xdr:rowOff>323850</xdr:rowOff>
    </xdr:from>
    <xdr:to>
      <xdr:col>6</xdr:col>
      <xdr:colOff>371475</xdr:colOff>
      <xdr:row>67</xdr:row>
      <xdr:rowOff>419100</xdr:rowOff>
    </xdr:to>
    <xdr:grpSp>
      <xdr:nvGrpSpPr>
        <xdr:cNvPr id="383" name="Group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GrpSpPr/>
      </xdr:nvGrpSpPr>
      <xdr:grpSpPr>
        <a:xfrm>
          <a:off x="5122333" y="29428017"/>
          <a:ext cx="1846086" cy="1471083"/>
          <a:chOff x="4171950" y="27070050"/>
          <a:chExt cx="1743075" cy="1409700"/>
        </a:xfrm>
      </xdr:grpSpPr>
      <xdr:sp macro="" textlink="">
        <xdr:nvSpPr>
          <xdr:cNvPr id="374" name="Rectangle 373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SpPr/>
        </xdr:nvSpPr>
        <xdr:spPr>
          <a:xfrm>
            <a:off x="4171950" y="270700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000-000077010000}"/>
              </a:ext>
            </a:extLst>
          </xdr:cNvPr>
          <xdr:cNvGrpSpPr>
            <a:grpSpLocks/>
          </xdr:cNvGrpSpPr>
        </xdr:nvGrpSpPr>
        <xdr:grpSpPr bwMode="auto">
          <a:xfrm>
            <a:off x="4552950" y="27489150"/>
            <a:ext cx="1028700" cy="579455"/>
            <a:chOff x="2060" y="1952"/>
            <a:chExt cx="388" cy="256"/>
          </a:xfrm>
        </xdr:grpSpPr>
        <xdr:sp macro="" textlink="">
          <xdr:nvSpPr>
            <xdr:cNvPr id="376" name="Freeform 29" descr="Wide upward diagonal">
              <a:extLst>
                <a:ext uri="{FF2B5EF4-FFF2-40B4-BE49-F238E27FC236}">
                  <a16:creationId xmlns:a16="http://schemas.microsoft.com/office/drawing/2014/main" id="{00000000-0008-0000-0000-000078010000}"/>
                </a:ext>
              </a:extLst>
            </xdr:cNvPr>
            <xdr:cNvSpPr>
              <a:spLocks/>
            </xdr:cNvSpPr>
          </xdr:nvSpPr>
          <xdr:spPr bwMode="auto">
            <a:xfrm>
              <a:off x="2064" y="1952"/>
              <a:ext cx="384" cy="256"/>
            </a:xfrm>
            <a:custGeom>
              <a:avLst/>
              <a:gdLst>
                <a:gd name="T0" fmla="*/ 0 w 288"/>
                <a:gd name="T1" fmla="*/ 0 h 192"/>
                <a:gd name="T2" fmla="*/ 0 w 288"/>
                <a:gd name="T3" fmla="*/ 192 h 192"/>
                <a:gd name="T4" fmla="*/ 288 w 288"/>
                <a:gd name="T5" fmla="*/ 192 h 192"/>
                <a:gd name="T6" fmla="*/ 288 w 288"/>
                <a:gd name="T7" fmla="*/ 96 h 192"/>
                <a:gd name="T8" fmla="*/ 192 w 288"/>
                <a:gd name="T9" fmla="*/ 0 h 192"/>
                <a:gd name="T10" fmla="*/ 0 w 288"/>
                <a:gd name="T11" fmla="*/ 0 h 192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288"/>
                <a:gd name="T19" fmla="*/ 0 h 192"/>
                <a:gd name="T20" fmla="*/ 288 w 288"/>
                <a:gd name="T21" fmla="*/ 192 h 192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288" h="192">
                  <a:moveTo>
                    <a:pt x="0" y="0"/>
                  </a:moveTo>
                  <a:lnTo>
                    <a:pt x="0" y="192"/>
                  </a:lnTo>
                  <a:lnTo>
                    <a:pt x="288" y="192"/>
                  </a:lnTo>
                  <a:lnTo>
                    <a:pt x="288" y="96"/>
                  </a:lnTo>
                  <a:lnTo>
                    <a:pt x="192" y="0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  <xdr:sp macro="" textlink="">
          <xdr:nvSpPr>
            <xdr:cNvPr id="377" name="Line 30" descr="Wide upward diagonal">
              <a:extLst>
                <a:ext uri="{FF2B5EF4-FFF2-40B4-BE49-F238E27FC236}">
                  <a16:creationId xmlns:a16="http://schemas.microsoft.com/office/drawing/2014/main" id="{00000000-0008-0000-00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060" y="1952"/>
              <a:ext cx="103" cy="108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78" name="Line 31" descr="Wide upward diagonal">
              <a:extLst>
                <a:ext uri="{FF2B5EF4-FFF2-40B4-BE49-F238E27FC236}">
                  <a16:creationId xmlns:a16="http://schemas.microsoft.com/office/drawing/2014/main" id="{00000000-0008-0000-00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060" y="1952"/>
              <a:ext cx="200" cy="204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79" name="Line 32" descr="Wide upward diagonal">
              <a:extLst>
                <a:ext uri="{FF2B5EF4-FFF2-40B4-BE49-F238E27FC236}">
                  <a16:creationId xmlns:a16="http://schemas.microsoft.com/office/drawing/2014/main" id="{00000000-0008-0000-00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108" y="1964"/>
              <a:ext cx="240" cy="240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0" name="Line 33" descr="Wide upward diagonal">
              <a:extLst>
                <a:ext uri="{FF2B5EF4-FFF2-40B4-BE49-F238E27FC236}">
                  <a16:creationId xmlns:a16="http://schemas.microsoft.com/office/drawing/2014/main" id="{00000000-0008-0000-00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203" y="2012"/>
              <a:ext cx="193" cy="192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1" name="Line 34" descr="Wide upward diagonal">
              <a:extLst>
                <a:ext uri="{FF2B5EF4-FFF2-40B4-BE49-F238E27FC236}">
                  <a16:creationId xmlns:a16="http://schemas.microsoft.com/office/drawing/2014/main" id="{00000000-0008-0000-0000-00007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00" y="2060"/>
              <a:ext cx="142" cy="144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2" name="Line 35" descr="Wide upward diagonal">
              <a:extLst>
                <a:ext uri="{FF2B5EF4-FFF2-40B4-BE49-F238E27FC236}">
                  <a16:creationId xmlns:a16="http://schemas.microsoft.com/office/drawing/2014/main" id="{00000000-0008-0000-0000-00007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96" y="2156"/>
              <a:ext cx="48" cy="48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</xdr:grpSp>
    </xdr:grpSp>
    <xdr:clientData/>
  </xdr:twoCellAnchor>
  <xdr:twoCellAnchor>
    <xdr:from>
      <xdr:col>0</xdr:col>
      <xdr:colOff>514350</xdr:colOff>
      <xdr:row>69</xdr:row>
      <xdr:rowOff>333375</xdr:rowOff>
    </xdr:from>
    <xdr:to>
      <xdr:col>2</xdr:col>
      <xdr:colOff>333375</xdr:colOff>
      <xdr:row>72</xdr:row>
      <xdr:rowOff>428625</xdr:rowOff>
    </xdr:to>
    <xdr:grpSp>
      <xdr:nvGrpSpPr>
        <xdr:cNvPr id="391" name="Group 390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GrpSpPr/>
      </xdr:nvGrpSpPr>
      <xdr:grpSpPr>
        <a:xfrm>
          <a:off x="514350" y="31730597"/>
          <a:ext cx="2605969" cy="1471084"/>
          <a:chOff x="485775" y="29317950"/>
          <a:chExt cx="1743075" cy="1409700"/>
        </a:xfrm>
      </xdr:grpSpPr>
      <xdr:sp macro="" textlink="">
        <xdr:nvSpPr>
          <xdr:cNvPr id="384" name="Rectangle 383">
            <a:extLst>
              <a:ext uri="{FF2B5EF4-FFF2-40B4-BE49-F238E27FC236}">
                <a16:creationId xmlns:a16="http://schemas.microsoft.com/office/drawing/2014/main" id="{00000000-0008-0000-0000-000080010000}"/>
              </a:ext>
            </a:extLst>
          </xdr:cNvPr>
          <xdr:cNvSpPr/>
        </xdr:nvSpPr>
        <xdr:spPr>
          <a:xfrm>
            <a:off x="485775" y="293179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8" name="Freeform 41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SpPr>
            <a:spLocks/>
          </xdr:cNvSpPr>
        </xdr:nvSpPr>
        <xdr:spPr bwMode="auto">
          <a:xfrm>
            <a:off x="1082830" y="29762685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noFill/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  <xdr:sp macro="" textlink="">
        <xdr:nvSpPr>
          <xdr:cNvPr id="389" name="Freeform 42">
            <a:extLst>
              <a:ext uri="{FF2B5EF4-FFF2-40B4-BE49-F238E27FC236}">
                <a16:creationId xmlns:a16="http://schemas.microsoft.com/office/drawing/2014/main" id="{00000000-0008-0000-0000-000085010000}"/>
              </a:ext>
            </a:extLst>
          </xdr:cNvPr>
          <xdr:cNvSpPr>
            <a:spLocks/>
          </xdr:cNvSpPr>
        </xdr:nvSpPr>
        <xdr:spPr bwMode="auto">
          <a:xfrm>
            <a:off x="984327" y="29835822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  <xdr:sp macro="" textlink="">
        <xdr:nvSpPr>
          <xdr:cNvPr id="390" name="Freeform 43">
            <a:extLst>
              <a:ext uri="{FF2B5EF4-FFF2-40B4-BE49-F238E27FC236}">
                <a16:creationId xmlns:a16="http://schemas.microsoft.com/office/drawing/2014/main" id="{00000000-0008-0000-0000-000086010000}"/>
              </a:ext>
            </a:extLst>
          </xdr:cNvPr>
          <xdr:cNvSpPr>
            <a:spLocks/>
          </xdr:cNvSpPr>
        </xdr:nvSpPr>
        <xdr:spPr bwMode="auto">
          <a:xfrm>
            <a:off x="885825" y="29908960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</xdr:col>
      <xdr:colOff>495300</xdr:colOff>
      <xdr:row>69</xdr:row>
      <xdr:rowOff>352425</xdr:rowOff>
    </xdr:from>
    <xdr:to>
      <xdr:col>6</xdr:col>
      <xdr:colOff>295275</xdr:colOff>
      <xdr:row>73</xdr:row>
      <xdr:rowOff>9525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GrpSpPr/>
      </xdr:nvGrpSpPr>
      <xdr:grpSpPr>
        <a:xfrm>
          <a:off x="5046133" y="31749647"/>
          <a:ext cx="1846086" cy="1491545"/>
          <a:chOff x="4086225" y="29270325"/>
          <a:chExt cx="1743075" cy="1409700"/>
        </a:xfrm>
      </xdr:grpSpPr>
      <xdr:sp macro="" textlink="">
        <xdr:nvSpPr>
          <xdr:cNvPr id="393" name="Rectangle 392">
            <a:extLst>
              <a:ext uri="{FF2B5EF4-FFF2-40B4-BE49-F238E27FC236}">
                <a16:creationId xmlns:a16="http://schemas.microsoft.com/office/drawing/2014/main" id="{00000000-0008-0000-0000-000089010000}"/>
              </a:ext>
            </a:extLst>
          </xdr:cNvPr>
          <xdr:cNvSpPr/>
        </xdr:nvSpPr>
        <xdr:spPr>
          <a:xfrm>
            <a:off x="4086225" y="29270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000-0000BB010000}"/>
              </a:ext>
            </a:extLst>
          </xdr:cNvPr>
          <xdr:cNvGrpSpPr/>
        </xdr:nvGrpSpPr>
        <xdr:grpSpPr>
          <a:xfrm>
            <a:off x="4276725" y="29584650"/>
            <a:ext cx="1447800" cy="817580"/>
            <a:chOff x="7248525" y="29489400"/>
            <a:chExt cx="1447800" cy="817580"/>
          </a:xfrm>
        </xdr:grpSpPr>
        <xdr:grpSp>
          <xdr:nvGrpSpPr>
            <xdr:cNvPr id="419" name="Group 418">
              <a:extLst>
                <a:ext uri="{FF2B5EF4-FFF2-40B4-BE49-F238E27FC236}">
                  <a16:creationId xmlns:a16="http://schemas.microsoft.com/office/drawing/2014/main" id="{00000000-0008-0000-0000-0000A3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667625" y="29489400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20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A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21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A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2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A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3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A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4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A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5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A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6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A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  <xdr:grpSp>
          <xdr:nvGrpSpPr>
            <xdr:cNvPr id="427" name="Group 426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467600" y="29632275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28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29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0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1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2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3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B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4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B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  <xdr:grpSp>
          <xdr:nvGrpSpPr>
            <xdr:cNvPr id="435" name="Group 434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248525" y="29727525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36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B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37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B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8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B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9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B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0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B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1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B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2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B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</xdr:grpSp>
    </xdr:grpSp>
    <xdr:clientData/>
  </xdr:twoCellAnchor>
  <xdr:twoCellAnchor>
    <xdr:from>
      <xdr:col>0</xdr:col>
      <xdr:colOff>514350</xdr:colOff>
      <xdr:row>74</xdr:row>
      <xdr:rowOff>314325</xdr:rowOff>
    </xdr:from>
    <xdr:to>
      <xdr:col>2</xdr:col>
      <xdr:colOff>333375</xdr:colOff>
      <xdr:row>77</xdr:row>
      <xdr:rowOff>409575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GrpSpPr/>
      </xdr:nvGrpSpPr>
      <xdr:grpSpPr>
        <a:xfrm>
          <a:off x="514350" y="34004603"/>
          <a:ext cx="2605969" cy="1471083"/>
          <a:chOff x="504825" y="31394400"/>
          <a:chExt cx="1743075" cy="1409700"/>
        </a:xfrm>
      </xdr:grpSpPr>
      <xdr:sp macro="" textlink="">
        <xdr:nvSpPr>
          <xdr:cNvPr id="446" name="Rectangle 445">
            <a:extLst>
              <a:ext uri="{FF2B5EF4-FFF2-40B4-BE49-F238E27FC236}">
                <a16:creationId xmlns:a16="http://schemas.microsoft.com/office/drawing/2014/main" id="{00000000-0008-0000-0000-0000BE010000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9" name="Freeform 43">
            <a:extLst>
              <a:ext uri="{FF2B5EF4-FFF2-40B4-BE49-F238E27FC236}">
                <a16:creationId xmlns:a16="http://schemas.microsoft.com/office/drawing/2014/main" id="{00000000-0008-0000-0000-0000C1010000}"/>
              </a:ext>
            </a:extLst>
          </xdr:cNvPr>
          <xdr:cNvSpPr>
            <a:spLocks/>
          </xdr:cNvSpPr>
        </xdr:nvSpPr>
        <xdr:spPr bwMode="auto">
          <a:xfrm>
            <a:off x="819149" y="31842076"/>
            <a:ext cx="1000125" cy="552450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</xdr:col>
      <xdr:colOff>495300</xdr:colOff>
      <xdr:row>74</xdr:row>
      <xdr:rowOff>342900</xdr:rowOff>
    </xdr:from>
    <xdr:to>
      <xdr:col>6</xdr:col>
      <xdr:colOff>295275</xdr:colOff>
      <xdr:row>78</xdr:row>
      <xdr:rowOff>0</xdr:rowOff>
    </xdr:to>
    <xdr:grpSp>
      <xdr:nvGrpSpPr>
        <xdr:cNvPr id="455" name="Group 454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GrpSpPr/>
      </xdr:nvGrpSpPr>
      <xdr:grpSpPr>
        <a:xfrm>
          <a:off x="5046133" y="34033178"/>
          <a:ext cx="1846086" cy="1491544"/>
          <a:chOff x="4000500" y="31489650"/>
          <a:chExt cx="1743075" cy="1409700"/>
        </a:xfrm>
      </xdr:grpSpPr>
      <xdr:sp macro="" textlink="">
        <xdr:nvSpPr>
          <xdr:cNvPr id="452" name="Rectangle 451">
            <a:extLst>
              <a:ext uri="{FF2B5EF4-FFF2-40B4-BE49-F238E27FC236}">
                <a16:creationId xmlns:a16="http://schemas.microsoft.com/office/drawing/2014/main" id="{00000000-0008-0000-0000-0000C4010000}"/>
              </a:ext>
            </a:extLst>
          </xdr:cNvPr>
          <xdr:cNvSpPr/>
        </xdr:nvSpPr>
        <xdr:spPr>
          <a:xfrm>
            <a:off x="4000500" y="314896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4" name="Isosceles Triangle 453">
            <a:extLst>
              <a:ext uri="{FF2B5EF4-FFF2-40B4-BE49-F238E27FC236}">
                <a16:creationId xmlns:a16="http://schemas.microsoft.com/office/drawing/2014/main" id="{00000000-0008-0000-0000-0000C6010000}"/>
              </a:ext>
            </a:extLst>
          </xdr:cNvPr>
          <xdr:cNvSpPr/>
        </xdr:nvSpPr>
        <xdr:spPr>
          <a:xfrm rot="10800000">
            <a:off x="4391025" y="31899225"/>
            <a:ext cx="952500" cy="666750"/>
          </a:xfrm>
          <a:prstGeom prst="triangle">
            <a:avLst/>
          </a:prstGeom>
          <a:solidFill>
            <a:schemeClr val="accent1">
              <a:lumMod val="20000"/>
              <a:lumOff val="80000"/>
            </a:schemeClr>
          </a:solidFill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504825</xdr:colOff>
      <xdr:row>79</xdr:row>
      <xdr:rowOff>381000</xdr:rowOff>
    </xdr:from>
    <xdr:to>
      <xdr:col>2</xdr:col>
      <xdr:colOff>323850</xdr:colOff>
      <xdr:row>83</xdr:row>
      <xdr:rowOff>38100</xdr:rowOff>
    </xdr:to>
    <xdr:grpSp>
      <xdr:nvGrpSpPr>
        <xdr:cNvPr id="460" name="Group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GrpSpPr/>
      </xdr:nvGrpSpPr>
      <xdr:grpSpPr>
        <a:xfrm>
          <a:off x="504825" y="36364333"/>
          <a:ext cx="2605969" cy="1491545"/>
          <a:chOff x="542925" y="33461325"/>
          <a:chExt cx="1743075" cy="1409700"/>
        </a:xfrm>
      </xdr:grpSpPr>
      <xdr:sp macro="" textlink="">
        <xdr:nvSpPr>
          <xdr:cNvPr id="458" name="Rectangle 457">
            <a:extLst>
              <a:ext uri="{FF2B5EF4-FFF2-40B4-BE49-F238E27FC236}">
                <a16:creationId xmlns:a16="http://schemas.microsoft.com/office/drawing/2014/main" id="{00000000-0008-0000-0000-0000CA010000}"/>
              </a:ext>
            </a:extLst>
          </xdr:cNvPr>
          <xdr:cNvSpPr/>
        </xdr:nvSpPr>
        <xdr:spPr>
          <a:xfrm>
            <a:off x="542925" y="33461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6" name="Rectangle 455">
            <a:extLst>
              <a:ext uri="{FF2B5EF4-FFF2-40B4-BE49-F238E27FC236}">
                <a16:creationId xmlns:a16="http://schemas.microsoft.com/office/drawing/2014/main" id="{00000000-0008-0000-0000-0000C8010000}"/>
              </a:ext>
            </a:extLst>
          </xdr:cNvPr>
          <xdr:cNvSpPr>
            <a:spLocks noChangeArrowheads="1"/>
          </xdr:cNvSpPr>
        </xdr:nvSpPr>
        <xdr:spPr bwMode="auto">
          <a:xfrm>
            <a:off x="800100" y="33889950"/>
            <a:ext cx="1219199" cy="514349"/>
          </a:xfrm>
          <a:prstGeom prst="rect">
            <a:avLst/>
          </a:prstGeom>
          <a:noFill/>
          <a:ln w="28575" algn="ctr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0" hangingPunct="0">
              <a:lnSpc>
                <a:spcPct val="90000"/>
              </a:lnSpc>
              <a:spcBef>
                <a:spcPts val="750"/>
              </a:spcBef>
              <a:defRPr/>
            </a:pPr>
            <a:r>
              <a:rPr lang="en-US" sz="1245"/>
              <a:t>OXOX</a:t>
            </a:r>
          </a:p>
        </xdr:txBody>
      </xdr:sp>
    </xdr:grpSp>
    <xdr:clientData/>
  </xdr:twoCellAnchor>
  <xdr:twoCellAnchor>
    <xdr:from>
      <xdr:col>4</xdr:col>
      <xdr:colOff>552450</xdr:colOff>
      <xdr:row>79</xdr:row>
      <xdr:rowOff>381000</xdr:rowOff>
    </xdr:from>
    <xdr:to>
      <xdr:col>6</xdr:col>
      <xdr:colOff>352425</xdr:colOff>
      <xdr:row>83</xdr:row>
      <xdr:rowOff>38100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GrpSpPr/>
      </xdr:nvGrpSpPr>
      <xdr:grpSpPr>
        <a:xfrm>
          <a:off x="5103283" y="36364333"/>
          <a:ext cx="1846086" cy="1491545"/>
          <a:chOff x="542925" y="33461325"/>
          <a:chExt cx="1743075" cy="1409700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000-0000CF010000}"/>
              </a:ext>
            </a:extLst>
          </xdr:cNvPr>
          <xdr:cNvSpPr/>
        </xdr:nvSpPr>
        <xdr:spPr>
          <a:xfrm>
            <a:off x="542925" y="33461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4" name="Rectangle 463">
            <a:extLst>
              <a:ext uri="{FF2B5EF4-FFF2-40B4-BE49-F238E27FC236}">
                <a16:creationId xmlns:a16="http://schemas.microsoft.com/office/drawing/2014/main" id="{00000000-0008-0000-0000-0000D0010000}"/>
              </a:ext>
            </a:extLst>
          </xdr:cNvPr>
          <xdr:cNvSpPr>
            <a:spLocks noChangeArrowheads="1"/>
          </xdr:cNvSpPr>
        </xdr:nvSpPr>
        <xdr:spPr bwMode="auto">
          <a:xfrm>
            <a:off x="800100" y="33889950"/>
            <a:ext cx="1219199" cy="514349"/>
          </a:xfrm>
          <a:prstGeom prst="rect">
            <a:avLst/>
          </a:prstGeom>
          <a:noFill/>
          <a:ln w="28575" algn="ctr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0" hangingPunct="0">
              <a:lnSpc>
                <a:spcPct val="90000"/>
              </a:lnSpc>
              <a:spcBef>
                <a:spcPts val="750"/>
              </a:spcBef>
              <a:defRPr/>
            </a:pPr>
            <a:r>
              <a:rPr lang="en-US" sz="1245"/>
              <a:t>1,2,3,4...</a:t>
            </a:r>
          </a:p>
        </xdr:txBody>
      </xdr:sp>
    </xdr:grpSp>
    <xdr:clientData/>
  </xdr:twoCellAnchor>
  <xdr:twoCellAnchor>
    <xdr:from>
      <xdr:col>0</xdr:col>
      <xdr:colOff>533400</xdr:colOff>
      <xdr:row>84</xdr:row>
      <xdr:rowOff>371475</xdr:rowOff>
    </xdr:from>
    <xdr:to>
      <xdr:col>2</xdr:col>
      <xdr:colOff>352425</xdr:colOff>
      <xdr:row>88</xdr:row>
      <xdr:rowOff>28575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GrpSpPr/>
      </xdr:nvGrpSpPr>
      <xdr:grpSpPr>
        <a:xfrm>
          <a:off x="533400" y="38647864"/>
          <a:ext cx="2605969" cy="1491544"/>
          <a:chOff x="514350" y="36156900"/>
          <a:chExt cx="1743075" cy="1409700"/>
        </a:xfrm>
      </xdr:grpSpPr>
      <xdr:sp macro="" textlink="">
        <xdr:nvSpPr>
          <xdr:cNvPr id="461" name="Rectangle 460">
            <a:extLst>
              <a:ext uri="{FF2B5EF4-FFF2-40B4-BE49-F238E27FC236}">
                <a16:creationId xmlns:a16="http://schemas.microsoft.com/office/drawing/2014/main" id="{00000000-0008-0000-0000-0000CD010000}"/>
              </a:ext>
            </a:extLst>
          </xdr:cNvPr>
          <xdr:cNvSpPr/>
        </xdr:nvSpPr>
        <xdr:spPr>
          <a:xfrm>
            <a:off x="514350" y="361569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5" name="Flowchart: Connector 464">
            <a:extLst>
              <a:ext uri="{FF2B5EF4-FFF2-40B4-BE49-F238E27FC236}">
                <a16:creationId xmlns:a16="http://schemas.microsoft.com/office/drawing/2014/main" id="{00000000-0008-0000-0000-0000D1010000}"/>
              </a:ext>
            </a:extLst>
          </xdr:cNvPr>
          <xdr:cNvSpPr/>
        </xdr:nvSpPr>
        <xdr:spPr>
          <a:xfrm>
            <a:off x="962025" y="36499800"/>
            <a:ext cx="876300" cy="762000"/>
          </a:xfrm>
          <a:prstGeom prst="flowChartConnector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6" name="Flowchart: Connector 465">
            <a:extLst>
              <a:ext uri="{FF2B5EF4-FFF2-40B4-BE49-F238E27FC236}">
                <a16:creationId xmlns:a16="http://schemas.microsoft.com/office/drawing/2014/main" id="{00000000-0008-0000-0000-0000D2010000}"/>
              </a:ext>
            </a:extLst>
          </xdr:cNvPr>
          <xdr:cNvSpPr/>
        </xdr:nvSpPr>
        <xdr:spPr>
          <a:xfrm>
            <a:off x="1143000" y="36623625"/>
            <a:ext cx="504825" cy="485775"/>
          </a:xfrm>
          <a:prstGeom prst="flowChartConnector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542925</xdr:colOff>
      <xdr:row>84</xdr:row>
      <xdr:rowOff>400050</xdr:rowOff>
    </xdr:from>
    <xdr:to>
      <xdr:col>6</xdr:col>
      <xdr:colOff>342900</xdr:colOff>
      <xdr:row>88</xdr:row>
      <xdr:rowOff>57150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5093758" y="38676439"/>
          <a:ext cx="1846086" cy="1491544"/>
          <a:chOff x="4095750" y="35852100"/>
          <a:chExt cx="1743075" cy="1409700"/>
        </a:xfrm>
      </xdr:grpSpPr>
      <xdr:sp macro="" textlink="">
        <xdr:nvSpPr>
          <xdr:cNvPr id="365" name="Rectangle 364">
            <a:extLst>
              <a:ext uri="{FF2B5EF4-FFF2-40B4-BE49-F238E27FC236}">
                <a16:creationId xmlns:a16="http://schemas.microsoft.com/office/drawing/2014/main" id="{00000000-0008-0000-0000-00006D010000}"/>
              </a:ext>
            </a:extLst>
          </xdr:cNvPr>
          <xdr:cNvSpPr/>
        </xdr:nvSpPr>
        <xdr:spPr>
          <a:xfrm>
            <a:off x="4095750" y="358521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82" name="Group 481">
            <a:extLst>
              <a:ext uri="{FF2B5EF4-FFF2-40B4-BE49-F238E27FC236}">
                <a16:creationId xmlns:a16="http://schemas.microsoft.com/office/drawing/2014/main" id="{00000000-0008-0000-0000-0000E2010000}"/>
              </a:ext>
            </a:extLst>
          </xdr:cNvPr>
          <xdr:cNvGrpSpPr/>
        </xdr:nvGrpSpPr>
        <xdr:grpSpPr>
          <a:xfrm>
            <a:off x="4867275" y="36252155"/>
            <a:ext cx="395646" cy="561995"/>
            <a:chOff x="4867275" y="36252155"/>
            <a:chExt cx="395646" cy="561995"/>
          </a:xfrm>
        </xdr:grpSpPr>
        <xdr:sp macro="" textlink="">
          <xdr:nvSpPr>
            <xdr:cNvPr id="475" name="Line 52">
              <a:extLst>
                <a:ext uri="{FF2B5EF4-FFF2-40B4-BE49-F238E27FC236}">
                  <a16:creationId xmlns:a16="http://schemas.microsoft.com/office/drawing/2014/main" id="{00000000-0008-0000-0000-0000D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059532" y="36569809"/>
              <a:ext cx="0" cy="244341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476" name="Line 53">
              <a:extLst>
                <a:ext uri="{FF2B5EF4-FFF2-40B4-BE49-F238E27FC236}">
                  <a16:creationId xmlns:a16="http://schemas.microsoft.com/office/drawing/2014/main" id="{00000000-0008-0000-0000-0000D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67962" y="36814150"/>
              <a:ext cx="185683" cy="0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479" name="Rectangle 16">
              <a:extLst>
                <a:ext uri="{FF2B5EF4-FFF2-40B4-BE49-F238E27FC236}">
                  <a16:creationId xmlns:a16="http://schemas.microsoft.com/office/drawing/2014/main" id="{00000000-0008-0000-0000-0000DF010000}"/>
                </a:ext>
              </a:extLst>
            </xdr:cNvPr>
            <xdr:cNvSpPr/>
          </xdr:nvSpPr>
          <xdr:spPr>
            <a:xfrm>
              <a:off x="4867275" y="36252155"/>
              <a:ext cx="395646" cy="302521"/>
            </a:xfrm>
            <a:custGeom>
              <a:avLst/>
              <a:gdLst>
                <a:gd name="connsiteX0" fmla="*/ 0 w 219945"/>
                <a:gd name="connsiteY0" fmla="*/ 0 h 241977"/>
                <a:gd name="connsiteX1" fmla="*/ 219945 w 219945"/>
                <a:gd name="connsiteY1" fmla="*/ 0 h 241977"/>
                <a:gd name="connsiteX2" fmla="*/ 219945 w 219945"/>
                <a:gd name="connsiteY2" fmla="*/ 241977 h 241977"/>
                <a:gd name="connsiteX3" fmla="*/ 0 w 219945"/>
                <a:gd name="connsiteY3" fmla="*/ 241977 h 241977"/>
                <a:gd name="connsiteX4" fmla="*/ 0 w 219945"/>
                <a:gd name="connsiteY4" fmla="*/ 0 h 241977"/>
                <a:gd name="connsiteX0" fmla="*/ 0 w 219945"/>
                <a:gd name="connsiteY0" fmla="*/ 3277 h 245254"/>
                <a:gd name="connsiteX1" fmla="*/ 139355 w 219945"/>
                <a:gd name="connsiteY1" fmla="*/ 0 h 245254"/>
                <a:gd name="connsiteX2" fmla="*/ 219945 w 219945"/>
                <a:gd name="connsiteY2" fmla="*/ 3277 h 245254"/>
                <a:gd name="connsiteX3" fmla="*/ 219945 w 219945"/>
                <a:gd name="connsiteY3" fmla="*/ 245254 h 245254"/>
                <a:gd name="connsiteX4" fmla="*/ 0 w 219945"/>
                <a:gd name="connsiteY4" fmla="*/ 245254 h 245254"/>
                <a:gd name="connsiteX5" fmla="*/ 0 w 219945"/>
                <a:gd name="connsiteY5" fmla="*/ 3277 h 245254"/>
                <a:gd name="connsiteX0" fmla="*/ 139355 w 230795"/>
                <a:gd name="connsiteY0" fmla="*/ 0 h 245254"/>
                <a:gd name="connsiteX1" fmla="*/ 219945 w 230795"/>
                <a:gd name="connsiteY1" fmla="*/ 3277 h 245254"/>
                <a:gd name="connsiteX2" fmla="*/ 219945 w 230795"/>
                <a:gd name="connsiteY2" fmla="*/ 245254 h 245254"/>
                <a:gd name="connsiteX3" fmla="*/ 0 w 230795"/>
                <a:gd name="connsiteY3" fmla="*/ 245254 h 245254"/>
                <a:gd name="connsiteX4" fmla="*/ 0 w 230795"/>
                <a:gd name="connsiteY4" fmla="*/ 3277 h 245254"/>
                <a:gd name="connsiteX5" fmla="*/ 230795 w 230795"/>
                <a:gd name="connsiteY5" fmla="*/ 91440 h 245254"/>
                <a:gd name="connsiteX0" fmla="*/ 139355 w 219945"/>
                <a:gd name="connsiteY0" fmla="*/ 0 h 245254"/>
                <a:gd name="connsiteX1" fmla="*/ 219945 w 219945"/>
                <a:gd name="connsiteY1" fmla="*/ 3277 h 245254"/>
                <a:gd name="connsiteX2" fmla="*/ 219945 w 219945"/>
                <a:gd name="connsiteY2" fmla="*/ 245254 h 245254"/>
                <a:gd name="connsiteX3" fmla="*/ 0 w 219945"/>
                <a:gd name="connsiteY3" fmla="*/ 245254 h 245254"/>
                <a:gd name="connsiteX4" fmla="*/ 0 w 219945"/>
                <a:gd name="connsiteY4" fmla="*/ 3277 h 245254"/>
                <a:gd name="connsiteX0" fmla="*/ 219945 w 219945"/>
                <a:gd name="connsiteY0" fmla="*/ 0 h 241977"/>
                <a:gd name="connsiteX1" fmla="*/ 219945 w 219945"/>
                <a:gd name="connsiteY1" fmla="*/ 241977 h 241977"/>
                <a:gd name="connsiteX2" fmla="*/ 0 w 219945"/>
                <a:gd name="connsiteY2" fmla="*/ 241977 h 241977"/>
                <a:gd name="connsiteX3" fmla="*/ 0 w 219945"/>
                <a:gd name="connsiteY3" fmla="*/ 0 h 241977"/>
                <a:gd name="connsiteX0" fmla="*/ 268205 w 268205"/>
                <a:gd name="connsiteY0" fmla="*/ 2540 h 241977"/>
                <a:gd name="connsiteX1" fmla="*/ 219945 w 268205"/>
                <a:gd name="connsiteY1" fmla="*/ 241977 h 241977"/>
                <a:gd name="connsiteX2" fmla="*/ 0 w 268205"/>
                <a:gd name="connsiteY2" fmla="*/ 241977 h 241977"/>
                <a:gd name="connsiteX3" fmla="*/ 0 w 26820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16465" h="241977">
                  <a:moveTo>
                    <a:pt x="316465" y="2540"/>
                  </a:moveTo>
                  <a:cubicBezTo>
                    <a:pt x="274978" y="224592"/>
                    <a:pt x="284292" y="162165"/>
                    <a:pt x="268205" y="241977"/>
                  </a:cubicBezTo>
                  <a:lnTo>
                    <a:pt x="48260" y="241977"/>
                  </a:lnTo>
                  <a:cubicBezTo>
                    <a:pt x="32173" y="161318"/>
                    <a:pt x="46567" y="222899"/>
                    <a:pt x="0" y="0"/>
                  </a:cubicBezTo>
                </a:path>
              </a:pathLst>
            </a:custGeom>
            <a:noFill/>
            <a:ln w="38100" cap="rnd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225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0</xdr:col>
      <xdr:colOff>561975</xdr:colOff>
      <xdr:row>89</xdr:row>
      <xdr:rowOff>390525</xdr:rowOff>
    </xdr:from>
    <xdr:to>
      <xdr:col>2</xdr:col>
      <xdr:colOff>381000</xdr:colOff>
      <xdr:row>93</xdr:row>
      <xdr:rowOff>47625</xdr:rowOff>
    </xdr:to>
    <xdr:grpSp>
      <xdr:nvGrpSpPr>
        <xdr:cNvPr id="491" name="Group 490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GrpSpPr/>
      </xdr:nvGrpSpPr>
      <xdr:grpSpPr>
        <a:xfrm>
          <a:off x="561975" y="40959969"/>
          <a:ext cx="2605969" cy="1491545"/>
          <a:chOff x="8620125" y="34080450"/>
          <a:chExt cx="1743075" cy="1409700"/>
        </a:xfrm>
      </xdr:grpSpPr>
      <xdr:sp macro="" textlink="">
        <xdr:nvSpPr>
          <xdr:cNvPr id="486" name="Rectangle 485">
            <a:extLst>
              <a:ext uri="{FF2B5EF4-FFF2-40B4-BE49-F238E27FC236}">
                <a16:creationId xmlns:a16="http://schemas.microsoft.com/office/drawing/2014/main" id="{00000000-0008-0000-0000-0000E6010000}"/>
              </a:ext>
            </a:extLst>
          </xdr:cNvPr>
          <xdr:cNvSpPr/>
        </xdr:nvSpPr>
        <xdr:spPr>
          <a:xfrm>
            <a:off x="8620125" y="340804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886825" y="34528125"/>
            <a:ext cx="1218603" cy="61929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685800</xdr:colOff>
      <xdr:row>89</xdr:row>
      <xdr:rowOff>400050</xdr:rowOff>
    </xdr:from>
    <xdr:to>
      <xdr:col>6</xdr:col>
      <xdr:colOff>485775</xdr:colOff>
      <xdr:row>93</xdr:row>
      <xdr:rowOff>57150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GrpSpPr/>
      </xdr:nvGrpSpPr>
      <xdr:grpSpPr>
        <a:xfrm>
          <a:off x="5236633" y="40969494"/>
          <a:ext cx="1846086" cy="1491545"/>
          <a:chOff x="4276725" y="38252400"/>
          <a:chExt cx="1743075" cy="1409700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000-0000F0010000}"/>
              </a:ext>
            </a:extLst>
          </xdr:cNvPr>
          <xdr:cNvSpPr/>
        </xdr:nvSpPr>
        <xdr:spPr>
          <a:xfrm>
            <a:off x="4276725" y="3825240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00" name="Explosion: 8 Points 499">
            <a:extLst>
              <a:ext uri="{FF2B5EF4-FFF2-40B4-BE49-F238E27FC236}">
                <a16:creationId xmlns:a16="http://schemas.microsoft.com/office/drawing/2014/main" id="{00000000-0008-0000-0000-0000F4010000}"/>
              </a:ext>
            </a:extLst>
          </xdr:cNvPr>
          <xdr:cNvSpPr/>
        </xdr:nvSpPr>
        <xdr:spPr>
          <a:xfrm>
            <a:off x="4629150" y="38509575"/>
            <a:ext cx="1076325" cy="971550"/>
          </a:xfrm>
          <a:prstGeom prst="irregularSeal1">
            <a:avLst/>
          </a:prstGeom>
          <a:noFill/>
          <a:ln w="28575"/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561975</xdr:colOff>
      <xdr:row>94</xdr:row>
      <xdr:rowOff>428625</xdr:rowOff>
    </xdr:from>
    <xdr:to>
      <xdr:col>2</xdr:col>
      <xdr:colOff>381000</xdr:colOff>
      <xdr:row>98</xdr:row>
      <xdr:rowOff>85725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GrpSpPr/>
      </xdr:nvGrpSpPr>
      <xdr:grpSpPr>
        <a:xfrm>
          <a:off x="561975" y="43820292"/>
          <a:ext cx="2605969" cy="2020711"/>
          <a:chOff x="571500" y="40290750"/>
          <a:chExt cx="1743075" cy="1409700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508" name="Straight Connector 507">
            <a:extLst>
              <a:ext uri="{FF2B5EF4-FFF2-40B4-BE49-F238E27FC236}">
                <a16:creationId xmlns:a16="http://schemas.microsoft.com/office/drawing/2014/main" id="{00000000-0008-0000-0000-0000FC010000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09" name="Isosceles Triangl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10" name="Rectangle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0</xdr:col>
      <xdr:colOff>714375</xdr:colOff>
      <xdr:row>95</xdr:row>
      <xdr:rowOff>136525</xdr:rowOff>
    </xdr:from>
    <xdr:to>
      <xdr:col>2</xdr:col>
      <xdr:colOff>533400</xdr:colOff>
      <xdr:row>98</xdr:row>
      <xdr:rowOff>238125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4C030C62-ECBB-4D41-BCD1-8C0ACCAF2A23}"/>
            </a:ext>
          </a:extLst>
        </xdr:cNvPr>
        <xdr:cNvGrpSpPr/>
      </xdr:nvGrpSpPr>
      <xdr:grpSpPr>
        <a:xfrm>
          <a:off x="714375" y="44515969"/>
          <a:ext cx="2605969" cy="1477434"/>
          <a:chOff x="571500" y="40290750"/>
          <a:chExt cx="1743075" cy="1409700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CE927E98-F454-D2AA-92FC-E59DC71C16E2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E27F4DD1-9AD5-5670-298F-8C359D02F583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4" name="Isosceles Triangle 103">
            <a:extLst>
              <a:ext uri="{FF2B5EF4-FFF2-40B4-BE49-F238E27FC236}">
                <a16:creationId xmlns:a16="http://schemas.microsoft.com/office/drawing/2014/main" id="{CEB19E04-2521-ADB5-6BBA-7AD4B9AF6D28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54267FC-2A2D-511F-8707-B7329793C7C1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17</xdr:col>
      <xdr:colOff>2126670</xdr:colOff>
      <xdr:row>35</xdr:row>
      <xdr:rowOff>202125</xdr:rowOff>
    </xdr:from>
    <xdr:to>
      <xdr:col>20</xdr:col>
      <xdr:colOff>635000</xdr:colOff>
      <xdr:row>41</xdr:row>
      <xdr:rowOff>0</xdr:rowOff>
    </xdr:to>
    <xdr:grpSp>
      <xdr:nvGrpSpPr>
        <xdr:cNvPr id="221" name="Group 72">
          <a:extLst>
            <a:ext uri="{FF2B5EF4-FFF2-40B4-BE49-F238E27FC236}">
              <a16:creationId xmlns:a16="http://schemas.microsoft.com/office/drawing/2014/main" id="{0820B299-5649-47EA-9F6B-F7D4696D5FF4}"/>
            </a:ext>
          </a:extLst>
        </xdr:cNvPr>
        <xdr:cNvGrpSpPr/>
      </xdr:nvGrpSpPr>
      <xdr:grpSpPr>
        <a:xfrm>
          <a:off x="19083287" y="14948236"/>
          <a:ext cx="3141713" cy="2549542"/>
          <a:chOff x="3143250" y="8191500"/>
          <a:chExt cx="1885950" cy="1609725"/>
        </a:xfrm>
      </xdr:grpSpPr>
      <xdr:grpSp>
        <xdr:nvGrpSpPr>
          <xdr:cNvPr id="222" name="Group 66">
            <a:extLst>
              <a:ext uri="{FF2B5EF4-FFF2-40B4-BE49-F238E27FC236}">
                <a16:creationId xmlns:a16="http://schemas.microsoft.com/office/drawing/2014/main" id="{C120DD19-EF4C-DDBB-CEE7-DE0465B3A0F1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</xdr:grpSpPr>
        <xdr:grpSp>
          <xdr:nvGrpSpPr>
            <xdr:cNvPr id="278" name="Group 67">
              <a:extLst>
                <a:ext uri="{FF2B5EF4-FFF2-40B4-BE49-F238E27FC236}">
                  <a16:creationId xmlns:a16="http://schemas.microsoft.com/office/drawing/2014/main" id="{BD5CFD92-5669-6250-441F-6E0336B2ECAF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283" name="Rectangle 282">
                <a:extLst>
                  <a:ext uri="{FF2B5EF4-FFF2-40B4-BE49-F238E27FC236}">
                    <a16:creationId xmlns:a16="http://schemas.microsoft.com/office/drawing/2014/main" id="{2F6880A2-5145-D15A-8999-07D26C2CE895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88" name="Rectangle 287">
                <a:extLst>
                  <a:ext uri="{FF2B5EF4-FFF2-40B4-BE49-F238E27FC236}">
                    <a16:creationId xmlns:a16="http://schemas.microsoft.com/office/drawing/2014/main" id="{55637B8F-871C-0777-420D-53BA15E0D9CE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5" name="Oval 71">
                <a:extLst>
                  <a:ext uri="{FF2B5EF4-FFF2-40B4-BE49-F238E27FC236}">
                    <a16:creationId xmlns:a16="http://schemas.microsoft.com/office/drawing/2014/main" id="{61C0B4CB-5F07-9E64-463B-CE7E18A8358E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82" name="Freeform: Shape 68">
              <a:extLst>
                <a:ext uri="{FF2B5EF4-FFF2-40B4-BE49-F238E27FC236}">
                  <a16:creationId xmlns:a16="http://schemas.microsoft.com/office/drawing/2014/main" id="{4F1321D0-77EB-CAE0-23BC-70DD190E38A1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54" name="Group 60">
            <a:extLst>
              <a:ext uri="{FF2B5EF4-FFF2-40B4-BE49-F238E27FC236}">
                <a16:creationId xmlns:a16="http://schemas.microsoft.com/office/drawing/2014/main" id="{785A31E0-B2AA-BAC8-0E7D-ACC4B3F187C8}"/>
              </a:ext>
            </a:extLst>
          </xdr:cNvPr>
          <xdr:cNvGrpSpPr/>
        </xdr:nvGrpSpPr>
        <xdr:grpSpPr>
          <a:xfrm>
            <a:off x="3143250" y="8391525"/>
            <a:ext cx="1714500" cy="1409700"/>
            <a:chOff x="600075" y="7658100"/>
            <a:chExt cx="1714500" cy="1409700"/>
          </a:xfrm>
        </xdr:grpSpPr>
        <xdr:grpSp>
          <xdr:nvGrpSpPr>
            <xdr:cNvPr id="255" name="Group 61">
              <a:extLst>
                <a:ext uri="{FF2B5EF4-FFF2-40B4-BE49-F238E27FC236}">
                  <a16:creationId xmlns:a16="http://schemas.microsoft.com/office/drawing/2014/main" id="{C9B578FE-81BC-0352-91D1-0336B24D97DE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275" name="Rectangle 274">
                <a:extLst>
                  <a:ext uri="{FF2B5EF4-FFF2-40B4-BE49-F238E27FC236}">
                    <a16:creationId xmlns:a16="http://schemas.microsoft.com/office/drawing/2014/main" id="{EDC82ACB-C85D-F0C9-50DF-51FBBA682495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" name="Rectangle 275">
                <a:extLst>
                  <a:ext uri="{FF2B5EF4-FFF2-40B4-BE49-F238E27FC236}">
                    <a16:creationId xmlns:a16="http://schemas.microsoft.com/office/drawing/2014/main" id="{E7461E3C-BFCD-0709-A7BC-E3C5B3974B6B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2800" b="1"/>
                  <a:t>HANK</a:t>
                </a:r>
                <a:endParaRPr lang="fr-FR" sz="1400" b="1"/>
              </a:p>
            </xdr:txBody>
          </xdr:sp>
          <xdr:sp macro="" textlink="">
            <xdr:nvSpPr>
              <xdr:cNvPr id="277" name="Oval 65">
                <a:extLst>
                  <a:ext uri="{FF2B5EF4-FFF2-40B4-BE49-F238E27FC236}">
                    <a16:creationId xmlns:a16="http://schemas.microsoft.com/office/drawing/2014/main" id="{30EFA5A8-854B-AADC-7BCD-3FB8539148D5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4" name="Freeform: Shape 62">
              <a:extLst>
                <a:ext uri="{FF2B5EF4-FFF2-40B4-BE49-F238E27FC236}">
                  <a16:creationId xmlns:a16="http://schemas.microsoft.com/office/drawing/2014/main" id="{7FE34FAF-C55C-6472-51E1-401C2A0BF3F1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35</xdr:col>
      <xdr:colOff>33422</xdr:colOff>
      <xdr:row>35</xdr:row>
      <xdr:rowOff>200527</xdr:rowOff>
    </xdr:from>
    <xdr:to>
      <xdr:col>36</xdr:col>
      <xdr:colOff>2941053</xdr:colOff>
      <xdr:row>39</xdr:row>
      <xdr:rowOff>401054</xdr:rowOff>
    </xdr:to>
    <xdr:grpSp>
      <xdr:nvGrpSpPr>
        <xdr:cNvPr id="299" name="Group 59">
          <a:extLst>
            <a:ext uri="{FF2B5EF4-FFF2-40B4-BE49-F238E27FC236}">
              <a16:creationId xmlns:a16="http://schemas.microsoft.com/office/drawing/2014/main" id="{F3392C44-D9AD-42A8-BF5B-DC048829F810}"/>
            </a:ext>
          </a:extLst>
        </xdr:cNvPr>
        <xdr:cNvGrpSpPr/>
      </xdr:nvGrpSpPr>
      <xdr:grpSpPr>
        <a:xfrm>
          <a:off x="50551200" y="14946638"/>
          <a:ext cx="4063331" cy="2034972"/>
          <a:chOff x="600075" y="7658100"/>
          <a:chExt cx="1714500" cy="1409700"/>
        </a:xfrm>
      </xdr:grpSpPr>
      <xdr:grpSp>
        <xdr:nvGrpSpPr>
          <xdr:cNvPr id="301" name="Group 58">
            <a:extLst>
              <a:ext uri="{FF2B5EF4-FFF2-40B4-BE49-F238E27FC236}">
                <a16:creationId xmlns:a16="http://schemas.microsoft.com/office/drawing/2014/main" id="{537C396C-819D-C465-B94D-E4931689229A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304" name="Rectangle 303">
              <a:extLst>
                <a:ext uri="{FF2B5EF4-FFF2-40B4-BE49-F238E27FC236}">
                  <a16:creationId xmlns:a16="http://schemas.microsoft.com/office/drawing/2014/main" id="{C0D2592C-BA54-079E-2570-AA126B78BF4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05" name="Rectangle 304">
              <a:extLst>
                <a:ext uri="{FF2B5EF4-FFF2-40B4-BE49-F238E27FC236}">
                  <a16:creationId xmlns:a16="http://schemas.microsoft.com/office/drawing/2014/main" id="{C9707973-1A42-8AE7-8FA9-990B79191803}"/>
                </a:ext>
              </a:extLst>
            </xdr:cNvPr>
            <xdr:cNvSpPr/>
          </xdr:nvSpPr>
          <xdr:spPr>
            <a:xfrm>
              <a:off x="590550" y="7658100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/>
                <a:t>SEAL INSERTION</a:t>
              </a:r>
              <a:r>
                <a:rPr lang="fr-FR" sz="2400"/>
                <a:t> </a:t>
              </a:r>
            </a:p>
          </xdr:txBody>
        </xdr:sp>
        <xdr:sp macro="" textlink="">
          <xdr:nvSpPr>
            <xdr:cNvPr id="309" name="Oval 55">
              <a:extLst>
                <a:ext uri="{FF2B5EF4-FFF2-40B4-BE49-F238E27FC236}">
                  <a16:creationId xmlns:a16="http://schemas.microsoft.com/office/drawing/2014/main" id="{75F50A5A-488C-B4AB-2D12-CE3CEAD092FB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03" name="Freeform: Shape 57">
            <a:extLst>
              <a:ext uri="{FF2B5EF4-FFF2-40B4-BE49-F238E27FC236}">
                <a16:creationId xmlns:a16="http://schemas.microsoft.com/office/drawing/2014/main" id="{896C72CE-965A-EC30-DB69-1EE1DD872070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835526</xdr:colOff>
      <xdr:row>36</xdr:row>
      <xdr:rowOff>10275</xdr:rowOff>
    </xdr:from>
    <xdr:to>
      <xdr:col>30</xdr:col>
      <xdr:colOff>33422</xdr:colOff>
      <xdr:row>39</xdr:row>
      <xdr:rowOff>367631</xdr:rowOff>
    </xdr:to>
    <xdr:grpSp>
      <xdr:nvGrpSpPr>
        <xdr:cNvPr id="316" name="Group 59">
          <a:extLst>
            <a:ext uri="{FF2B5EF4-FFF2-40B4-BE49-F238E27FC236}">
              <a16:creationId xmlns:a16="http://schemas.microsoft.com/office/drawing/2014/main" id="{970F47BA-604C-4792-B51C-4721112B1335}"/>
            </a:ext>
          </a:extLst>
        </xdr:cNvPr>
        <xdr:cNvGrpSpPr/>
      </xdr:nvGrpSpPr>
      <xdr:grpSpPr>
        <a:xfrm>
          <a:off x="34984415" y="15214997"/>
          <a:ext cx="4842340" cy="1733190"/>
          <a:chOff x="656665" y="7658100"/>
          <a:chExt cx="1704975" cy="1409700"/>
        </a:xfrm>
      </xdr:grpSpPr>
      <xdr:grpSp>
        <xdr:nvGrpSpPr>
          <xdr:cNvPr id="318" name="Group 58">
            <a:extLst>
              <a:ext uri="{FF2B5EF4-FFF2-40B4-BE49-F238E27FC236}">
                <a16:creationId xmlns:a16="http://schemas.microsoft.com/office/drawing/2014/main" id="{720B3788-5D78-1F5E-48D7-3F5396767891}"/>
              </a:ext>
            </a:extLst>
          </xdr:cNvPr>
          <xdr:cNvGrpSpPr/>
        </xdr:nvGrpSpPr>
        <xdr:grpSpPr>
          <a:xfrm>
            <a:off x="656665" y="7658100"/>
            <a:ext cx="1704975" cy="1409700"/>
            <a:chOff x="647140" y="7648575"/>
            <a:chExt cx="1704975" cy="1409700"/>
          </a:xfrm>
        </xdr:grpSpPr>
        <xdr:sp macro="" textlink="">
          <xdr:nvSpPr>
            <xdr:cNvPr id="322" name="Rectangle 321">
              <a:extLst>
                <a:ext uri="{FF2B5EF4-FFF2-40B4-BE49-F238E27FC236}">
                  <a16:creationId xmlns:a16="http://schemas.microsoft.com/office/drawing/2014/main" id="{BF1FE6C2-1D9E-91FD-F62F-C8F7A05B1834}"/>
                </a:ext>
              </a:extLst>
            </xdr:cNvPr>
            <xdr:cNvSpPr/>
          </xdr:nvSpPr>
          <xdr:spPr>
            <a:xfrm>
              <a:off x="647140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23" name="Rectangle 322">
              <a:extLst>
                <a:ext uri="{FF2B5EF4-FFF2-40B4-BE49-F238E27FC236}">
                  <a16:creationId xmlns:a16="http://schemas.microsoft.com/office/drawing/2014/main" id="{DB516290-ED0E-8867-5BE7-44525B060E1C}"/>
                </a:ext>
              </a:extLst>
            </xdr:cNvPr>
            <xdr:cNvSpPr/>
          </xdr:nvSpPr>
          <xdr:spPr>
            <a:xfrm>
              <a:off x="707189" y="7658099"/>
              <a:ext cx="1597861" cy="362236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800" b="1"/>
                <a:t>PASSE-FIL </a:t>
              </a:r>
            </a:p>
          </xdr:txBody>
        </xdr:sp>
        <xdr:sp macro="" textlink="">
          <xdr:nvSpPr>
            <xdr:cNvPr id="324" name="Oval 55">
              <a:extLst>
                <a:ext uri="{FF2B5EF4-FFF2-40B4-BE49-F238E27FC236}">
                  <a16:creationId xmlns:a16="http://schemas.microsoft.com/office/drawing/2014/main" id="{594FCA2B-1120-999B-1888-5C3477A124E6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20" name="Freeform: Shape 57">
            <a:extLst>
              <a:ext uri="{FF2B5EF4-FFF2-40B4-BE49-F238E27FC236}">
                <a16:creationId xmlns:a16="http://schemas.microsoft.com/office/drawing/2014/main" id="{AC3A4613-9045-E52A-510F-542DBBF4A4E5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778855</xdr:colOff>
      <xdr:row>35</xdr:row>
      <xdr:rowOff>264462</xdr:rowOff>
    </xdr:from>
    <xdr:to>
      <xdr:col>15</xdr:col>
      <xdr:colOff>59883</xdr:colOff>
      <xdr:row>39</xdr:row>
      <xdr:rowOff>368132</xdr:rowOff>
    </xdr:to>
    <xdr:grpSp>
      <xdr:nvGrpSpPr>
        <xdr:cNvPr id="325" name="Group 59">
          <a:extLst>
            <a:ext uri="{FF2B5EF4-FFF2-40B4-BE49-F238E27FC236}">
              <a16:creationId xmlns:a16="http://schemas.microsoft.com/office/drawing/2014/main" id="{A3CAF3DC-4F6F-4E9C-9241-FABDF2372097}"/>
            </a:ext>
          </a:extLst>
        </xdr:cNvPr>
        <xdr:cNvGrpSpPr/>
      </xdr:nvGrpSpPr>
      <xdr:grpSpPr>
        <a:xfrm>
          <a:off x="11926633" y="15010573"/>
          <a:ext cx="5454639" cy="1938115"/>
          <a:chOff x="600075" y="7658100"/>
          <a:chExt cx="1714500" cy="1409700"/>
        </a:xfrm>
      </xdr:grpSpPr>
      <xdr:grpSp>
        <xdr:nvGrpSpPr>
          <xdr:cNvPr id="326" name="Group 58">
            <a:extLst>
              <a:ext uri="{FF2B5EF4-FFF2-40B4-BE49-F238E27FC236}">
                <a16:creationId xmlns:a16="http://schemas.microsoft.com/office/drawing/2014/main" id="{6953E508-382C-05C2-BEE4-EE3ABD62A5E8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328" name="Rectangle 327">
              <a:extLst>
                <a:ext uri="{FF2B5EF4-FFF2-40B4-BE49-F238E27FC236}">
                  <a16:creationId xmlns:a16="http://schemas.microsoft.com/office/drawing/2014/main" id="{02409053-D14C-01F4-BD76-B9CC4A406A6E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29" name="Rectangle 328">
              <a:extLst>
                <a:ext uri="{FF2B5EF4-FFF2-40B4-BE49-F238E27FC236}">
                  <a16:creationId xmlns:a16="http://schemas.microsoft.com/office/drawing/2014/main" id="{00FED52F-44BF-C235-0D20-2949B27F5E9E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800" b="1"/>
                <a:t>KAPPA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330" name="Oval 55">
              <a:extLst>
                <a:ext uri="{FF2B5EF4-FFF2-40B4-BE49-F238E27FC236}">
                  <a16:creationId xmlns:a16="http://schemas.microsoft.com/office/drawing/2014/main" id="{B27A708D-CFA0-EF51-E5FD-459E85C0A2DB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27" name="Freeform: Shape 57">
            <a:extLst>
              <a:ext uri="{FF2B5EF4-FFF2-40B4-BE49-F238E27FC236}">
                <a16:creationId xmlns:a16="http://schemas.microsoft.com/office/drawing/2014/main" id="{E6905CEA-7473-C8F7-4C66-55B0DAFD39D8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64</xdr:col>
      <xdr:colOff>1892843</xdr:colOff>
      <xdr:row>22</xdr:row>
      <xdr:rowOff>203684</xdr:rowOff>
    </xdr:from>
    <xdr:to>
      <xdr:col>66</xdr:col>
      <xdr:colOff>411205</xdr:colOff>
      <xdr:row>26</xdr:row>
      <xdr:rowOff>188199</xdr:rowOff>
    </xdr:to>
    <xdr:grpSp>
      <xdr:nvGrpSpPr>
        <xdr:cNvPr id="386" name="Groupe 385">
          <a:extLst>
            <a:ext uri="{FF2B5EF4-FFF2-40B4-BE49-F238E27FC236}">
              <a16:creationId xmlns:a16="http://schemas.microsoft.com/office/drawing/2014/main" id="{F4B4E4B7-0887-F9F0-E8BD-DECB91576FD2}"/>
            </a:ext>
          </a:extLst>
        </xdr:cNvPr>
        <xdr:cNvGrpSpPr/>
      </xdr:nvGrpSpPr>
      <xdr:grpSpPr>
        <a:xfrm>
          <a:off x="103451215" y="8987851"/>
          <a:ext cx="1629157" cy="1818959"/>
          <a:chOff x="68022440" y="20567805"/>
          <a:chExt cx="2307683" cy="1781098"/>
        </a:xfrm>
      </xdr:grpSpPr>
      <xdr:sp macro="" textlink="">
        <xdr:nvSpPr>
          <xdr:cNvPr id="7" name="Freeform: Shape 16">
            <a:extLst>
              <a:ext uri="{FF2B5EF4-FFF2-40B4-BE49-F238E27FC236}">
                <a16:creationId xmlns:a16="http://schemas.microsoft.com/office/drawing/2014/main" id="{8A40D03A-AAC2-CABA-69C9-2A7861974B00}"/>
              </a:ext>
            </a:extLst>
          </xdr:cNvPr>
          <xdr:cNvSpPr/>
        </xdr:nvSpPr>
        <xdr:spPr>
          <a:xfrm>
            <a:off x="68022440" y="20567805"/>
            <a:ext cx="2307683" cy="1781098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FEDA3B27-7289-4DB8-8B29-8B0E25F4F4FD}"/>
              </a:ext>
            </a:extLst>
          </xdr:cNvPr>
          <xdr:cNvSpPr/>
        </xdr:nvSpPr>
        <xdr:spPr>
          <a:xfrm>
            <a:off x="68394146" y="21435122"/>
            <a:ext cx="1564269" cy="898292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/>
              <a:t>ASSEMBLY</a:t>
            </a:r>
          </a:p>
          <a:p>
            <a:pPr algn="ctr"/>
            <a:r>
              <a:rPr lang="fr-FR" sz="2400" b="1"/>
              <a:t>AREA</a:t>
            </a:r>
            <a:endParaRPr lang="fr-FR" sz="1200" b="1"/>
          </a:p>
        </xdr:txBody>
      </xdr:sp>
    </xdr:grpSp>
    <xdr:clientData/>
  </xdr:twoCellAnchor>
  <xdr:twoCellAnchor>
    <xdr:from>
      <xdr:col>35</xdr:col>
      <xdr:colOff>35150</xdr:colOff>
      <xdr:row>32</xdr:row>
      <xdr:rowOff>399179</xdr:rowOff>
    </xdr:from>
    <xdr:to>
      <xdr:col>37</xdr:col>
      <xdr:colOff>33422</xdr:colOff>
      <xdr:row>35</xdr:row>
      <xdr:rowOff>200527</xdr:rowOff>
    </xdr:to>
    <xdr:grpSp>
      <xdr:nvGrpSpPr>
        <xdr:cNvPr id="408" name="Group 449">
          <a:extLst>
            <a:ext uri="{FF2B5EF4-FFF2-40B4-BE49-F238E27FC236}">
              <a16:creationId xmlns:a16="http://schemas.microsoft.com/office/drawing/2014/main" id="{D84387F8-7FFC-4595-AFDC-F0EAFD06465D}"/>
            </a:ext>
          </a:extLst>
        </xdr:cNvPr>
        <xdr:cNvGrpSpPr/>
      </xdr:nvGrpSpPr>
      <xdr:grpSpPr>
        <a:xfrm>
          <a:off x="50552928" y="13769457"/>
          <a:ext cx="4090494" cy="1177181"/>
          <a:chOff x="504825" y="31394400"/>
          <a:chExt cx="1743075" cy="1409700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E225C5B1-3543-6786-434D-D5A699D693E8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0" name="Freeform 43">
            <a:extLst>
              <a:ext uri="{FF2B5EF4-FFF2-40B4-BE49-F238E27FC236}">
                <a16:creationId xmlns:a16="http://schemas.microsoft.com/office/drawing/2014/main" id="{258CFF69-E55A-73E3-506A-950BF066EABA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15</xdr:col>
      <xdr:colOff>893896</xdr:colOff>
      <xdr:row>38</xdr:row>
      <xdr:rowOff>212713</xdr:rowOff>
    </xdr:from>
    <xdr:to>
      <xdr:col>17</xdr:col>
      <xdr:colOff>922086</xdr:colOff>
      <xdr:row>41</xdr:row>
      <xdr:rowOff>329302</xdr:rowOff>
    </xdr:to>
    <xdr:grpSp>
      <xdr:nvGrpSpPr>
        <xdr:cNvPr id="447" name="Group 89">
          <a:extLst>
            <a:ext uri="{FF2B5EF4-FFF2-40B4-BE49-F238E27FC236}">
              <a16:creationId xmlns:a16="http://schemas.microsoft.com/office/drawing/2014/main" id="{905381AC-98FA-4D51-A2F6-156EE28C28BA}"/>
            </a:ext>
          </a:extLst>
        </xdr:cNvPr>
        <xdr:cNvGrpSpPr/>
      </xdr:nvGrpSpPr>
      <xdr:grpSpPr>
        <a:xfrm>
          <a:off x="18215285" y="16334657"/>
          <a:ext cx="869918" cy="1492423"/>
          <a:chOff x="571500" y="40290750"/>
          <a:chExt cx="1743075" cy="1409700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C302080A-B023-2596-6566-2871BF8FC056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53" name="Straight Connector 92">
            <a:extLst>
              <a:ext uri="{FF2B5EF4-FFF2-40B4-BE49-F238E27FC236}">
                <a16:creationId xmlns:a16="http://schemas.microsoft.com/office/drawing/2014/main" id="{F64D3FB0-8AA9-E7CD-E775-839910D517C6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7" name="Isosceles Triangle 103">
            <a:extLst>
              <a:ext uri="{FF2B5EF4-FFF2-40B4-BE49-F238E27FC236}">
                <a16:creationId xmlns:a16="http://schemas.microsoft.com/office/drawing/2014/main" id="{5BE80A16-435A-4DCF-564B-E556F9C2EB9D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9" name="Rectangle 458">
            <a:extLst>
              <a:ext uri="{FF2B5EF4-FFF2-40B4-BE49-F238E27FC236}">
                <a16:creationId xmlns:a16="http://schemas.microsoft.com/office/drawing/2014/main" id="{1C0CCDF0-5D55-B167-D54F-D83894196591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18</xdr:col>
      <xdr:colOff>109092</xdr:colOff>
      <xdr:row>33</xdr:row>
      <xdr:rowOff>49628</xdr:rowOff>
    </xdr:from>
    <xdr:to>
      <xdr:col>20</xdr:col>
      <xdr:colOff>768685</xdr:colOff>
      <xdr:row>35</xdr:row>
      <xdr:rowOff>334210</xdr:rowOff>
    </xdr:to>
    <xdr:grpSp>
      <xdr:nvGrpSpPr>
        <xdr:cNvPr id="504" name="Group 449">
          <a:extLst>
            <a:ext uri="{FF2B5EF4-FFF2-40B4-BE49-F238E27FC236}">
              <a16:creationId xmlns:a16="http://schemas.microsoft.com/office/drawing/2014/main" id="{AE210513-2C76-46F7-9694-8B5EA32EBE57}"/>
            </a:ext>
          </a:extLst>
        </xdr:cNvPr>
        <xdr:cNvGrpSpPr/>
      </xdr:nvGrpSpPr>
      <xdr:grpSpPr>
        <a:xfrm>
          <a:off x="19194370" y="13878517"/>
          <a:ext cx="3164315" cy="1201804"/>
          <a:chOff x="504825" y="31394400"/>
          <a:chExt cx="1743075" cy="1409700"/>
        </a:xfrm>
      </xdr:grpSpPr>
      <xdr:sp macro="" textlink="">
        <xdr:nvSpPr>
          <xdr:cNvPr id="506" name="Rectangle 505">
            <a:extLst>
              <a:ext uri="{FF2B5EF4-FFF2-40B4-BE49-F238E27FC236}">
                <a16:creationId xmlns:a16="http://schemas.microsoft.com/office/drawing/2014/main" id="{3B0779C5-8977-E1C2-139F-1A65253AD01A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07" name="Freeform 43">
            <a:extLst>
              <a:ext uri="{FF2B5EF4-FFF2-40B4-BE49-F238E27FC236}">
                <a16:creationId xmlns:a16="http://schemas.microsoft.com/office/drawing/2014/main" id="{721775AC-DF81-30BA-66DA-11F2121255E4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15</xdr:col>
      <xdr:colOff>33422</xdr:colOff>
      <xdr:row>37</xdr:row>
      <xdr:rowOff>37613</xdr:rowOff>
    </xdr:from>
    <xdr:to>
      <xdr:col>17</xdr:col>
      <xdr:colOff>2306053</xdr:colOff>
      <xdr:row>38</xdr:row>
      <xdr:rowOff>233948</xdr:rowOff>
    </xdr:to>
    <xdr:grpSp>
      <xdr:nvGrpSpPr>
        <xdr:cNvPr id="525" name="Group 665">
          <a:extLst>
            <a:ext uri="{FF2B5EF4-FFF2-40B4-BE49-F238E27FC236}">
              <a16:creationId xmlns:a16="http://schemas.microsoft.com/office/drawing/2014/main" id="{BCA9BA03-D909-4B2F-84D9-1C36C01E9755}"/>
            </a:ext>
          </a:extLst>
        </xdr:cNvPr>
        <xdr:cNvGrpSpPr/>
      </xdr:nvGrpSpPr>
      <xdr:grpSpPr>
        <a:xfrm>
          <a:off x="17354811" y="15700946"/>
          <a:ext cx="1730059" cy="654946"/>
          <a:chOff x="885825" y="2581275"/>
          <a:chExt cx="1123950" cy="323850"/>
        </a:xfrm>
      </xdr:grpSpPr>
      <xdr:sp macro="" textlink="">
        <xdr:nvSpPr>
          <xdr:cNvPr id="526" name="Arrow: Right 666">
            <a:extLst>
              <a:ext uri="{FF2B5EF4-FFF2-40B4-BE49-F238E27FC236}">
                <a16:creationId xmlns:a16="http://schemas.microsoft.com/office/drawing/2014/main" id="{780DA960-BF78-F523-CE02-9FB5F9C3BFEE}"/>
              </a:ext>
            </a:extLst>
          </xdr:cNvPr>
          <xdr:cNvSpPr/>
        </xdr:nvSpPr>
        <xdr:spPr>
          <a:xfrm>
            <a:off x="914400" y="2581275"/>
            <a:ext cx="1066800" cy="323850"/>
          </a:xfrm>
          <a:prstGeom prst="rightArrow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527" name="Group 667">
            <a:extLst>
              <a:ext uri="{FF2B5EF4-FFF2-40B4-BE49-F238E27FC236}">
                <a16:creationId xmlns:a16="http://schemas.microsoft.com/office/drawing/2014/main" id="{AB30B37E-3942-EE4F-F9EA-208377397534}"/>
              </a:ext>
            </a:extLst>
          </xdr:cNvPr>
          <xdr:cNvGrpSpPr/>
        </xdr:nvGrpSpPr>
        <xdr:grpSpPr>
          <a:xfrm>
            <a:off x="885825" y="2609850"/>
            <a:ext cx="1123950" cy="276225"/>
            <a:chOff x="885825" y="2609850"/>
            <a:chExt cx="1123950" cy="276225"/>
          </a:xfrm>
        </xdr:grpSpPr>
        <xdr:sp macro="" textlink="">
          <xdr:nvSpPr>
            <xdr:cNvPr id="530" name="Rectangle 529">
              <a:extLst>
                <a:ext uri="{FF2B5EF4-FFF2-40B4-BE49-F238E27FC236}">
                  <a16:creationId xmlns:a16="http://schemas.microsoft.com/office/drawing/2014/main" id="{F6B0701A-CCD6-60E1-DC38-95D22592005E}"/>
                </a:ext>
              </a:extLst>
            </xdr:cNvPr>
            <xdr:cNvSpPr/>
          </xdr:nvSpPr>
          <xdr:spPr>
            <a:xfrm>
              <a:off x="1190625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32" name="Rectangle 531">
              <a:extLst>
                <a:ext uri="{FF2B5EF4-FFF2-40B4-BE49-F238E27FC236}">
                  <a16:creationId xmlns:a16="http://schemas.microsoft.com/office/drawing/2014/main" id="{2EF673B2-7EED-5F02-9C51-D09B41C52082}"/>
                </a:ext>
              </a:extLst>
            </xdr:cNvPr>
            <xdr:cNvSpPr/>
          </xdr:nvSpPr>
          <xdr:spPr>
            <a:xfrm>
              <a:off x="8858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35" name="Rectangle 534">
              <a:extLst>
                <a:ext uri="{FF2B5EF4-FFF2-40B4-BE49-F238E27FC236}">
                  <a16:creationId xmlns:a16="http://schemas.microsoft.com/office/drawing/2014/main" id="{A69C7CE8-5E3F-E837-E132-91A24704E3C8}"/>
                </a:ext>
              </a:extLst>
            </xdr:cNvPr>
            <xdr:cNvSpPr/>
          </xdr:nvSpPr>
          <xdr:spPr>
            <a:xfrm>
              <a:off x="10382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44" name="Rectangle 543">
              <a:extLst>
                <a:ext uri="{FF2B5EF4-FFF2-40B4-BE49-F238E27FC236}">
                  <a16:creationId xmlns:a16="http://schemas.microsoft.com/office/drawing/2014/main" id="{84152C2E-A257-B615-B857-EDE29061E820}"/>
                </a:ext>
              </a:extLst>
            </xdr:cNvPr>
            <xdr:cNvSpPr/>
          </xdr:nvSpPr>
          <xdr:spPr>
            <a:xfrm>
              <a:off x="132397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45" name="Rectangle 544">
              <a:extLst>
                <a:ext uri="{FF2B5EF4-FFF2-40B4-BE49-F238E27FC236}">
                  <a16:creationId xmlns:a16="http://schemas.microsoft.com/office/drawing/2014/main" id="{9349BD1A-6B66-82F3-3464-A6152E6F09F0}"/>
                </a:ext>
              </a:extLst>
            </xdr:cNvPr>
            <xdr:cNvSpPr/>
          </xdr:nvSpPr>
          <xdr:spPr>
            <a:xfrm>
              <a:off x="148590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80" name="Rectangle 579">
              <a:extLst>
                <a:ext uri="{FF2B5EF4-FFF2-40B4-BE49-F238E27FC236}">
                  <a16:creationId xmlns:a16="http://schemas.microsoft.com/office/drawing/2014/main" id="{C73AE4D8-A123-A674-AE38-F48B08F4423C}"/>
                </a:ext>
              </a:extLst>
            </xdr:cNvPr>
            <xdr:cNvSpPr/>
          </xdr:nvSpPr>
          <xdr:spPr>
            <a:xfrm>
              <a:off x="165735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81" name="Isosceles Triangle 674">
              <a:extLst>
                <a:ext uri="{FF2B5EF4-FFF2-40B4-BE49-F238E27FC236}">
                  <a16:creationId xmlns:a16="http://schemas.microsoft.com/office/drawing/2014/main" id="{EBE07AB9-C59D-3D31-A9A4-9C08904FD7D0}"/>
                </a:ext>
              </a:extLst>
            </xdr:cNvPr>
            <xdr:cNvSpPr/>
          </xdr:nvSpPr>
          <xdr:spPr>
            <a:xfrm rot="5400000">
              <a:off x="1776412" y="2652713"/>
              <a:ext cx="276225" cy="190500"/>
            </a:xfrm>
            <a:prstGeom prst="triangle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855506</xdr:colOff>
      <xdr:row>35</xdr:row>
      <xdr:rowOff>68324</xdr:rowOff>
    </xdr:from>
    <xdr:to>
      <xdr:col>17</xdr:col>
      <xdr:colOff>1818360</xdr:colOff>
      <xdr:row>36</xdr:row>
      <xdr:rowOff>394514</xdr:rowOff>
    </xdr:to>
    <xdr:grpSp>
      <xdr:nvGrpSpPr>
        <xdr:cNvPr id="582" name="Group 206">
          <a:extLst>
            <a:ext uri="{FF2B5EF4-FFF2-40B4-BE49-F238E27FC236}">
              <a16:creationId xmlns:a16="http://schemas.microsoft.com/office/drawing/2014/main" id="{A8CE5DCA-EE6E-4D48-865C-C74D6F497950}"/>
            </a:ext>
          </a:extLst>
        </xdr:cNvPr>
        <xdr:cNvGrpSpPr/>
      </xdr:nvGrpSpPr>
      <xdr:grpSpPr>
        <a:xfrm>
          <a:off x="19082123" y="14814435"/>
          <a:ext cx="4004" cy="784801"/>
          <a:chOff x="266700" y="14344650"/>
          <a:chExt cx="1743075" cy="1314450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95B8A9FB-6500-7390-4F2D-FCAE8066EDF1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84" name="Arc 26">
            <a:extLst>
              <a:ext uri="{FF2B5EF4-FFF2-40B4-BE49-F238E27FC236}">
                <a16:creationId xmlns:a16="http://schemas.microsoft.com/office/drawing/2014/main" id="{AED08E03-5605-DB32-4964-520FB6CC1A98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30</xdr:col>
      <xdr:colOff>33422</xdr:colOff>
      <xdr:row>37</xdr:row>
      <xdr:rowOff>300790</xdr:rowOff>
    </xdr:from>
    <xdr:to>
      <xdr:col>35</xdr:col>
      <xdr:colOff>60345</xdr:colOff>
      <xdr:row>37</xdr:row>
      <xdr:rowOff>406190</xdr:rowOff>
    </xdr:to>
    <xdr:cxnSp macro="">
      <xdr:nvCxnSpPr>
        <xdr:cNvPr id="646" name="Straight Arrow Connector 532">
          <a:extLst>
            <a:ext uri="{FF2B5EF4-FFF2-40B4-BE49-F238E27FC236}">
              <a16:creationId xmlns:a16="http://schemas.microsoft.com/office/drawing/2014/main" id="{F04A90A0-8EC0-4363-8C63-3FF55F23BC41}"/>
            </a:ext>
          </a:extLst>
        </xdr:cNvPr>
        <xdr:cNvCxnSpPr>
          <a:stCxn id="322" idx="3"/>
          <a:endCxn id="304" idx="1"/>
        </xdr:cNvCxnSpPr>
      </xdr:nvCxnSpPr>
      <xdr:spPr>
        <a:xfrm flipV="1">
          <a:off x="46588948" y="15373685"/>
          <a:ext cx="7279292" cy="1054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756153</xdr:colOff>
      <xdr:row>10</xdr:row>
      <xdr:rowOff>417037</xdr:rowOff>
    </xdr:from>
    <xdr:to>
      <xdr:col>14</xdr:col>
      <xdr:colOff>1208969</xdr:colOff>
      <xdr:row>17</xdr:row>
      <xdr:rowOff>152778</xdr:rowOff>
    </xdr:to>
    <xdr:grpSp>
      <xdr:nvGrpSpPr>
        <xdr:cNvPr id="709" name="Group 23">
          <a:extLst>
            <a:ext uri="{FF2B5EF4-FFF2-40B4-BE49-F238E27FC236}">
              <a16:creationId xmlns:a16="http://schemas.microsoft.com/office/drawing/2014/main" id="{3E47E1EC-6048-4928-9264-C33ECD1F9703}"/>
            </a:ext>
          </a:extLst>
        </xdr:cNvPr>
        <xdr:cNvGrpSpPr/>
      </xdr:nvGrpSpPr>
      <xdr:grpSpPr>
        <a:xfrm>
          <a:off x="11021986" y="3733148"/>
          <a:ext cx="4650872" cy="2910741"/>
          <a:chOff x="1863655" y="3857625"/>
          <a:chExt cx="1070045" cy="742950"/>
        </a:xfrm>
      </xdr:grpSpPr>
      <xdr:sp macro="" textlink="">
        <xdr:nvSpPr>
          <xdr:cNvPr id="710" name="Freeform: Shape 18">
            <a:extLst>
              <a:ext uri="{FF2B5EF4-FFF2-40B4-BE49-F238E27FC236}">
                <a16:creationId xmlns:a16="http://schemas.microsoft.com/office/drawing/2014/main" id="{4890758B-4E45-7688-231B-DF2B3C852FA0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711" name="Rectangle 710">
            <a:extLst>
              <a:ext uri="{FF2B5EF4-FFF2-40B4-BE49-F238E27FC236}">
                <a16:creationId xmlns:a16="http://schemas.microsoft.com/office/drawing/2014/main" id="{2952F1AC-EEA8-D389-5855-890A29B52649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CUTTING</a:t>
            </a:r>
            <a:r>
              <a:rPr lang="fr-FR" sz="2000" b="1" baseline="0"/>
              <a:t> AREA</a:t>
            </a:r>
            <a:endParaRPr lang="fr-FR" sz="2000" b="1"/>
          </a:p>
        </xdr:txBody>
      </xdr:sp>
    </xdr:grpSp>
    <xdr:clientData/>
  </xdr:twoCellAnchor>
  <xdr:twoCellAnchor>
    <xdr:from>
      <xdr:col>14</xdr:col>
      <xdr:colOff>55818</xdr:colOff>
      <xdr:row>10</xdr:row>
      <xdr:rowOff>76838</xdr:rowOff>
    </xdr:from>
    <xdr:to>
      <xdr:col>14</xdr:col>
      <xdr:colOff>2399702</xdr:colOff>
      <xdr:row>14</xdr:row>
      <xdr:rowOff>284854</xdr:rowOff>
    </xdr:to>
    <xdr:grpSp>
      <xdr:nvGrpSpPr>
        <xdr:cNvPr id="2" name="Group 286">
          <a:extLst>
            <a:ext uri="{FF2B5EF4-FFF2-40B4-BE49-F238E27FC236}">
              <a16:creationId xmlns:a16="http://schemas.microsoft.com/office/drawing/2014/main" id="{8CD273C7-DB5D-42A0-91E2-DF3D607BB6D3}"/>
            </a:ext>
          </a:extLst>
        </xdr:cNvPr>
        <xdr:cNvGrpSpPr/>
      </xdr:nvGrpSpPr>
      <xdr:grpSpPr>
        <a:xfrm>
          <a:off x="14519707" y="3392949"/>
          <a:ext cx="2343884" cy="2007183"/>
          <a:chOff x="504825" y="18364200"/>
          <a:chExt cx="1743075" cy="14097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1CD2526-BD0F-C203-AB5B-3979DB3B4996}"/>
              </a:ext>
            </a:extLst>
          </xdr:cNvPr>
          <xdr:cNvSpPr/>
        </xdr:nvSpPr>
        <xdr:spPr>
          <a:xfrm>
            <a:off x="504825" y="183642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" name="Straight Connector 278">
            <a:extLst>
              <a:ext uri="{FF2B5EF4-FFF2-40B4-BE49-F238E27FC236}">
                <a16:creationId xmlns:a16="http://schemas.microsoft.com/office/drawing/2014/main" id="{EDAC1448-5042-0A3C-F018-A19EB4D09997}"/>
              </a:ext>
            </a:extLst>
          </xdr:cNvPr>
          <xdr:cNvCxnSpPr/>
        </xdr:nvCxnSpPr>
        <xdr:spPr>
          <a:xfrm flipV="1">
            <a:off x="628650" y="18849975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traight Connector 279">
            <a:extLst>
              <a:ext uri="{FF2B5EF4-FFF2-40B4-BE49-F238E27FC236}">
                <a16:creationId xmlns:a16="http://schemas.microsoft.com/office/drawing/2014/main" id="{A6DBA389-71CC-834C-8BBD-F19DB80ADE1B}"/>
              </a:ext>
            </a:extLst>
          </xdr:cNvPr>
          <xdr:cNvCxnSpPr/>
        </xdr:nvCxnSpPr>
        <xdr:spPr>
          <a:xfrm flipV="1">
            <a:off x="628650" y="19316700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Straight Connector 280">
            <a:extLst>
              <a:ext uri="{FF2B5EF4-FFF2-40B4-BE49-F238E27FC236}">
                <a16:creationId xmlns:a16="http://schemas.microsoft.com/office/drawing/2014/main" id="{821CE4AB-52B5-955E-8298-1F05D5B1FD60}"/>
              </a:ext>
            </a:extLst>
          </xdr:cNvPr>
          <xdr:cNvCxnSpPr/>
        </xdr:nvCxnSpPr>
        <xdr:spPr>
          <a:xfrm>
            <a:off x="619125" y="19078575"/>
            <a:ext cx="42862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Straight Connector 283">
            <a:extLst>
              <a:ext uri="{FF2B5EF4-FFF2-40B4-BE49-F238E27FC236}">
                <a16:creationId xmlns:a16="http://schemas.microsoft.com/office/drawing/2014/main" id="{9C8AE5DE-DAE3-B899-4E9B-457D4C5BA46C}"/>
              </a:ext>
            </a:extLst>
          </xdr:cNvPr>
          <xdr:cNvCxnSpPr/>
        </xdr:nvCxnSpPr>
        <xdr:spPr>
          <a:xfrm>
            <a:off x="1685925" y="19069050"/>
            <a:ext cx="428625" cy="0"/>
          </a:xfrm>
          <a:prstGeom prst="line">
            <a:avLst/>
          </a:prstGeom>
          <a:ln>
            <a:tailEnd type="stealth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1" name="Rectangle 310">
            <a:extLst>
              <a:ext uri="{FF2B5EF4-FFF2-40B4-BE49-F238E27FC236}">
                <a16:creationId xmlns:a16="http://schemas.microsoft.com/office/drawing/2014/main" id="{2E340766-2A44-1E01-6CCB-E7543F884D84}"/>
              </a:ext>
            </a:extLst>
          </xdr:cNvPr>
          <xdr:cNvSpPr/>
        </xdr:nvSpPr>
        <xdr:spPr>
          <a:xfrm>
            <a:off x="1171575" y="18926175"/>
            <a:ext cx="571500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2000" b="1"/>
              <a:t>FIFO</a:t>
            </a:r>
            <a:endParaRPr lang="fr-FR" sz="1100" b="1"/>
          </a:p>
        </xdr:txBody>
      </xdr:sp>
      <xdr:sp macro="" textlink="">
        <xdr:nvSpPr>
          <xdr:cNvPr id="312" name="Rectangle 311">
            <a:extLst>
              <a:ext uri="{FF2B5EF4-FFF2-40B4-BE49-F238E27FC236}">
                <a16:creationId xmlns:a16="http://schemas.microsoft.com/office/drawing/2014/main" id="{D02851F1-B84E-58C5-7D31-D7E5BCBBBFDC}"/>
              </a:ext>
            </a:extLst>
          </xdr:cNvPr>
          <xdr:cNvSpPr/>
        </xdr:nvSpPr>
        <xdr:spPr>
          <a:xfrm>
            <a:off x="704850" y="18621375"/>
            <a:ext cx="57150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MAX</a:t>
            </a:r>
            <a:r>
              <a:rPr lang="fr-FR" sz="1100" baseline="0"/>
              <a:t> =</a:t>
            </a:r>
            <a:endParaRPr lang="fr-FR" sz="1100"/>
          </a:p>
        </xdr:txBody>
      </xdr:sp>
    </xdr:grpSp>
    <xdr:clientData/>
  </xdr:twoCellAnchor>
  <xdr:twoCellAnchor>
    <xdr:from>
      <xdr:col>13</xdr:col>
      <xdr:colOff>2275661</xdr:colOff>
      <xdr:row>24</xdr:row>
      <xdr:rowOff>47026</xdr:rowOff>
    </xdr:from>
    <xdr:to>
      <xdr:col>14</xdr:col>
      <xdr:colOff>1703396</xdr:colOff>
      <xdr:row>27</xdr:row>
      <xdr:rowOff>142056</xdr:rowOff>
    </xdr:to>
    <xdr:grpSp>
      <xdr:nvGrpSpPr>
        <xdr:cNvPr id="313" name="Group 224">
          <a:extLst>
            <a:ext uri="{FF2B5EF4-FFF2-40B4-BE49-F238E27FC236}">
              <a16:creationId xmlns:a16="http://schemas.microsoft.com/office/drawing/2014/main" id="{4139E5B7-D52C-4953-AF18-7F0DC52240A4}"/>
            </a:ext>
          </a:extLst>
        </xdr:cNvPr>
        <xdr:cNvGrpSpPr/>
      </xdr:nvGrpSpPr>
      <xdr:grpSpPr>
        <a:xfrm>
          <a:off x="14305383" y="9748415"/>
          <a:ext cx="1861902" cy="1470863"/>
          <a:chOff x="3733800" y="16354425"/>
          <a:chExt cx="1743075" cy="1409700"/>
        </a:xfrm>
      </xdr:grpSpPr>
      <xdr:sp macro="" textlink="">
        <xdr:nvSpPr>
          <xdr:cNvPr id="314" name="Rectangle 313">
            <a:extLst>
              <a:ext uri="{FF2B5EF4-FFF2-40B4-BE49-F238E27FC236}">
                <a16:creationId xmlns:a16="http://schemas.microsoft.com/office/drawing/2014/main" id="{12C284D3-DD0F-2E49-74E7-B60A19CE14A1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315" name="Group 212">
            <a:extLst>
              <a:ext uri="{FF2B5EF4-FFF2-40B4-BE49-F238E27FC236}">
                <a16:creationId xmlns:a16="http://schemas.microsoft.com/office/drawing/2014/main" id="{8A2494E0-E6D1-D52D-8E00-57FB8ADB1437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331" name="Line 11">
              <a:extLst>
                <a:ext uri="{FF2B5EF4-FFF2-40B4-BE49-F238E27FC236}">
                  <a16:creationId xmlns:a16="http://schemas.microsoft.com/office/drawing/2014/main" id="{62E1C286-7D03-8E09-B919-7D56A7741F1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332" name="Line 12">
              <a:extLst>
                <a:ext uri="{FF2B5EF4-FFF2-40B4-BE49-F238E27FC236}">
                  <a16:creationId xmlns:a16="http://schemas.microsoft.com/office/drawing/2014/main" id="{AE89ED72-74E0-BD0E-AF00-A193F64C679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333" name="Line 13">
              <a:extLst>
                <a:ext uri="{FF2B5EF4-FFF2-40B4-BE49-F238E27FC236}">
                  <a16:creationId xmlns:a16="http://schemas.microsoft.com/office/drawing/2014/main" id="{EC65AFB7-B9DA-6CDC-16AA-6F6162B92B57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334" name="Line 14">
              <a:extLst>
                <a:ext uri="{FF2B5EF4-FFF2-40B4-BE49-F238E27FC236}">
                  <a16:creationId xmlns:a16="http://schemas.microsoft.com/office/drawing/2014/main" id="{219C9189-6457-2711-018E-6B551C75A7E4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335" name="Line 15">
              <a:extLst>
                <a:ext uri="{FF2B5EF4-FFF2-40B4-BE49-F238E27FC236}">
                  <a16:creationId xmlns:a16="http://schemas.microsoft.com/office/drawing/2014/main" id="{173ED482-7673-83CE-9CCB-99AC5D6F390F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12</xdr:col>
      <xdr:colOff>0</xdr:colOff>
      <xdr:row>17</xdr:row>
      <xdr:rowOff>167105</xdr:rowOff>
    </xdr:from>
    <xdr:to>
      <xdr:col>12</xdr:col>
      <xdr:colOff>295428</xdr:colOff>
      <xdr:row>22</xdr:row>
      <xdr:rowOff>390896</xdr:rowOff>
    </xdr:to>
    <xdr:cxnSp macro="">
      <xdr:nvCxnSpPr>
        <xdr:cNvPr id="356" name="Straight Arrow Connector 527">
          <a:extLst>
            <a:ext uri="{FF2B5EF4-FFF2-40B4-BE49-F238E27FC236}">
              <a16:creationId xmlns:a16="http://schemas.microsoft.com/office/drawing/2014/main" id="{7FA2B44F-0684-4C26-AAC8-F56735D8DC80}"/>
            </a:ext>
          </a:extLst>
        </xdr:cNvPr>
        <xdr:cNvCxnSpPr>
          <a:endCxn id="362" idx="1"/>
        </xdr:cNvCxnSpPr>
      </xdr:nvCxnSpPr>
      <xdr:spPr>
        <a:xfrm>
          <a:off x="10561053" y="6550526"/>
          <a:ext cx="295428" cy="2396159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295428</xdr:colOff>
      <xdr:row>21</xdr:row>
      <xdr:rowOff>33421</xdr:rowOff>
    </xdr:from>
    <xdr:to>
      <xdr:col>13</xdr:col>
      <xdr:colOff>1127874</xdr:colOff>
      <xdr:row>24</xdr:row>
      <xdr:rowOff>313896</xdr:rowOff>
    </xdr:to>
    <xdr:grpSp>
      <xdr:nvGrpSpPr>
        <xdr:cNvPr id="360" name="Group 352">
          <a:extLst>
            <a:ext uri="{FF2B5EF4-FFF2-40B4-BE49-F238E27FC236}">
              <a16:creationId xmlns:a16="http://schemas.microsoft.com/office/drawing/2014/main" id="{F0752749-AB82-4DC0-AFE1-AD851AF3D20C}"/>
            </a:ext>
          </a:extLst>
        </xdr:cNvPr>
        <xdr:cNvGrpSpPr/>
      </xdr:nvGrpSpPr>
      <xdr:grpSpPr>
        <a:xfrm>
          <a:off x="11443206" y="8358977"/>
          <a:ext cx="1714390" cy="1656308"/>
          <a:chOff x="4076700" y="20631150"/>
          <a:chExt cx="1743075" cy="1409700"/>
        </a:xfrm>
      </xdr:grpSpPr>
      <xdr:sp macro="" textlink="">
        <xdr:nvSpPr>
          <xdr:cNvPr id="362" name="Rectangle 361">
            <a:extLst>
              <a:ext uri="{FF2B5EF4-FFF2-40B4-BE49-F238E27FC236}">
                <a16:creationId xmlns:a16="http://schemas.microsoft.com/office/drawing/2014/main" id="{44E12205-57B4-44BB-7F33-92306F475A1B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70" name="Picture 318">
            <a:extLst>
              <a:ext uri="{FF2B5EF4-FFF2-40B4-BE49-F238E27FC236}">
                <a16:creationId xmlns:a16="http://schemas.microsoft.com/office/drawing/2014/main" id="{E0D73A8A-349B-A866-55F0-F16314B241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ln>
            <a:noFill/>
          </a:ln>
        </xdr:spPr>
      </xdr:pic>
      <xdr:grpSp>
        <xdr:nvGrpSpPr>
          <xdr:cNvPr id="405" name="Group 340">
            <a:extLst>
              <a:ext uri="{FF2B5EF4-FFF2-40B4-BE49-F238E27FC236}">
                <a16:creationId xmlns:a16="http://schemas.microsoft.com/office/drawing/2014/main" id="{5CA77773-5C31-ED4B-15C8-23EE0F4F5CFB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</xdr:grpSpPr>
        <xdr:sp macro="" textlink="">
          <xdr:nvSpPr>
            <xdr:cNvPr id="406" name="Rectangle 80">
              <a:extLst>
                <a:ext uri="{FF2B5EF4-FFF2-40B4-BE49-F238E27FC236}">
                  <a16:creationId xmlns:a16="http://schemas.microsoft.com/office/drawing/2014/main" id="{135416A8-A4F3-484A-8C47-4017A5591FF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noFill/>
            <a:ln w="28575" algn="ctr">
              <a:solidFill>
                <a:schemeClr val="tx1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407" name="Graphic 13">
              <a:extLst>
                <a:ext uri="{FF2B5EF4-FFF2-40B4-BE49-F238E27FC236}">
                  <a16:creationId xmlns:a16="http://schemas.microsoft.com/office/drawing/2014/main" id="{9916963E-04A1-C80D-7D1E-9C20AE3E6E60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noFill/>
          </xdr:grpSpPr>
          <xdr:sp macro="" textlink="">
            <xdr:nvSpPr>
              <xdr:cNvPr id="502" name="Freeform: Shape 343">
                <a:extLst>
                  <a:ext uri="{FF2B5EF4-FFF2-40B4-BE49-F238E27FC236}">
                    <a16:creationId xmlns:a16="http://schemas.microsoft.com/office/drawing/2014/main" id="{6C8F69AC-2C2E-3DBD-A9CA-5EEB8DD661D9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no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708" name="Graphic 13">
                <a:extLst>
                  <a:ext uri="{FF2B5EF4-FFF2-40B4-BE49-F238E27FC236}">
                    <a16:creationId xmlns:a16="http://schemas.microsoft.com/office/drawing/2014/main" id="{7E4ECEE6-523B-EDE6-FD4C-E0ACE6E535E4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</xdr:grpSpPr>
            <xdr:sp macro="" textlink="">
              <xdr:nvSpPr>
                <xdr:cNvPr id="717" name="Freeform: Shape 350">
                  <a:extLst>
                    <a:ext uri="{FF2B5EF4-FFF2-40B4-BE49-F238E27FC236}">
                      <a16:creationId xmlns:a16="http://schemas.microsoft.com/office/drawing/2014/main" id="{3169F074-BA11-FCED-ABCE-DDFDF04FA17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718" name="Freeform: Shape 351">
                  <a:extLst>
                    <a:ext uri="{FF2B5EF4-FFF2-40B4-BE49-F238E27FC236}">
                      <a16:creationId xmlns:a16="http://schemas.microsoft.com/office/drawing/2014/main" id="{B8B304C5-F917-6701-44C5-49608126D4E6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712" name="Graphic 13">
                <a:extLst>
                  <a:ext uri="{FF2B5EF4-FFF2-40B4-BE49-F238E27FC236}">
                    <a16:creationId xmlns:a16="http://schemas.microsoft.com/office/drawing/2014/main" id="{B80E41E5-4D4B-C797-0E85-E9E036B3941E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</xdr:grpSpPr>
            <xdr:sp macro="" textlink="">
              <xdr:nvSpPr>
                <xdr:cNvPr id="715" name="Freeform: Shape 348">
                  <a:extLst>
                    <a:ext uri="{FF2B5EF4-FFF2-40B4-BE49-F238E27FC236}">
                      <a16:creationId xmlns:a16="http://schemas.microsoft.com/office/drawing/2014/main" id="{6612B89C-1680-A3BB-6C21-D812F28DC294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716" name="Freeform: Shape 349">
                  <a:extLst>
                    <a:ext uri="{FF2B5EF4-FFF2-40B4-BE49-F238E27FC236}">
                      <a16:creationId xmlns:a16="http://schemas.microsoft.com/office/drawing/2014/main" id="{1C82F588-4F0C-E63C-DEDF-4562F7479CD5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713" name="Freeform: Shape 346">
                <a:extLst>
                  <a:ext uri="{FF2B5EF4-FFF2-40B4-BE49-F238E27FC236}">
                    <a16:creationId xmlns:a16="http://schemas.microsoft.com/office/drawing/2014/main" id="{07011C0A-D1C7-7EF7-54DF-19887B9655B5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714" name="Freeform: Shape 347">
                <a:extLst>
                  <a:ext uri="{FF2B5EF4-FFF2-40B4-BE49-F238E27FC236}">
                    <a16:creationId xmlns:a16="http://schemas.microsoft.com/office/drawing/2014/main" id="{1509B98D-0578-EF71-BAFE-03366DA18D02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13</xdr:col>
      <xdr:colOff>1127874</xdr:colOff>
      <xdr:row>22</xdr:row>
      <xdr:rowOff>390896</xdr:rowOff>
    </xdr:from>
    <xdr:to>
      <xdr:col>13</xdr:col>
      <xdr:colOff>2275661</xdr:colOff>
      <xdr:row>25</xdr:row>
      <xdr:rowOff>311778</xdr:rowOff>
    </xdr:to>
    <xdr:cxnSp macro="">
      <xdr:nvCxnSpPr>
        <xdr:cNvPr id="719" name="Straight Arrow Connector 527">
          <a:extLst>
            <a:ext uri="{FF2B5EF4-FFF2-40B4-BE49-F238E27FC236}">
              <a16:creationId xmlns:a16="http://schemas.microsoft.com/office/drawing/2014/main" id="{0E613043-1D75-4E47-A353-78B25374A16A}"/>
            </a:ext>
          </a:extLst>
        </xdr:cNvPr>
        <xdr:cNvCxnSpPr>
          <a:stCxn id="362" idx="3"/>
          <a:endCxn id="314" idx="1"/>
        </xdr:cNvCxnSpPr>
      </xdr:nvCxnSpPr>
      <xdr:spPr>
        <a:xfrm>
          <a:off x="12591295" y="8946685"/>
          <a:ext cx="1147787" cy="1224304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769660</xdr:colOff>
      <xdr:row>27</xdr:row>
      <xdr:rowOff>142056</xdr:rowOff>
    </xdr:from>
    <xdr:to>
      <xdr:col>17</xdr:col>
      <xdr:colOff>1844646</xdr:colOff>
      <xdr:row>30</xdr:row>
      <xdr:rowOff>2851</xdr:rowOff>
    </xdr:to>
    <xdr:cxnSp macro="">
      <xdr:nvCxnSpPr>
        <xdr:cNvPr id="721" name="Straight Arrow Connector 527">
          <a:extLst>
            <a:ext uri="{FF2B5EF4-FFF2-40B4-BE49-F238E27FC236}">
              <a16:creationId xmlns:a16="http://schemas.microsoft.com/office/drawing/2014/main" id="{62974711-710C-4591-8293-68BFF5B9CFD1}"/>
            </a:ext>
          </a:extLst>
        </xdr:cNvPr>
        <xdr:cNvCxnSpPr>
          <a:stCxn id="314" idx="2"/>
          <a:endCxn id="745" idx="0"/>
        </xdr:cNvCxnSpPr>
      </xdr:nvCxnSpPr>
      <xdr:spPr>
        <a:xfrm>
          <a:off x="14672818" y="10870214"/>
          <a:ext cx="5753933" cy="1164216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726508</xdr:colOff>
      <xdr:row>34</xdr:row>
      <xdr:rowOff>189100</xdr:rowOff>
    </xdr:from>
    <xdr:to>
      <xdr:col>17</xdr:col>
      <xdr:colOff>757812</xdr:colOff>
      <xdr:row>37</xdr:row>
      <xdr:rowOff>288777</xdr:rowOff>
    </xdr:to>
    <xdr:grpSp>
      <xdr:nvGrpSpPr>
        <xdr:cNvPr id="724" name="Group 224">
          <a:extLst>
            <a:ext uri="{FF2B5EF4-FFF2-40B4-BE49-F238E27FC236}">
              <a16:creationId xmlns:a16="http://schemas.microsoft.com/office/drawing/2014/main" id="{780F0F60-68AC-481D-9C3E-86A1C206604C}"/>
            </a:ext>
          </a:extLst>
        </xdr:cNvPr>
        <xdr:cNvGrpSpPr/>
      </xdr:nvGrpSpPr>
      <xdr:grpSpPr>
        <a:xfrm>
          <a:off x="18047897" y="14476600"/>
          <a:ext cx="1038132" cy="1475510"/>
          <a:chOff x="3733800" y="16354425"/>
          <a:chExt cx="1743075" cy="1409700"/>
        </a:xfrm>
      </xdr:grpSpPr>
      <xdr:sp macro="" textlink="">
        <xdr:nvSpPr>
          <xdr:cNvPr id="725" name="Rectangle 724">
            <a:extLst>
              <a:ext uri="{FF2B5EF4-FFF2-40B4-BE49-F238E27FC236}">
                <a16:creationId xmlns:a16="http://schemas.microsoft.com/office/drawing/2014/main" id="{8E10805E-8EAE-B310-5672-98E6007BEC56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726" name="Group 212">
            <a:extLst>
              <a:ext uri="{FF2B5EF4-FFF2-40B4-BE49-F238E27FC236}">
                <a16:creationId xmlns:a16="http://schemas.microsoft.com/office/drawing/2014/main" id="{C5E6AA0B-6073-2530-C902-1D3487C6FE4E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727" name="Line 11">
              <a:extLst>
                <a:ext uri="{FF2B5EF4-FFF2-40B4-BE49-F238E27FC236}">
                  <a16:creationId xmlns:a16="http://schemas.microsoft.com/office/drawing/2014/main" id="{CEE0DFFD-AA25-42BA-58E4-F5D567D4D72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28" name="Line 12">
              <a:extLst>
                <a:ext uri="{FF2B5EF4-FFF2-40B4-BE49-F238E27FC236}">
                  <a16:creationId xmlns:a16="http://schemas.microsoft.com/office/drawing/2014/main" id="{C896E545-4892-B61D-AF13-474D6B82ACC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29" name="Line 13">
              <a:extLst>
                <a:ext uri="{FF2B5EF4-FFF2-40B4-BE49-F238E27FC236}">
                  <a16:creationId xmlns:a16="http://schemas.microsoft.com/office/drawing/2014/main" id="{8CBF0DDF-B81C-78F2-544C-B7D209F7703A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30" name="Line 14">
              <a:extLst>
                <a:ext uri="{FF2B5EF4-FFF2-40B4-BE49-F238E27FC236}">
                  <a16:creationId xmlns:a16="http://schemas.microsoft.com/office/drawing/2014/main" id="{9686BEEE-86E8-C1C7-5080-44BFC89FD92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31" name="Line 15">
              <a:extLst>
                <a:ext uri="{FF2B5EF4-FFF2-40B4-BE49-F238E27FC236}">
                  <a16:creationId xmlns:a16="http://schemas.microsoft.com/office/drawing/2014/main" id="{8FEC69AC-01BA-41FD-81D4-00BB88FC2B54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59</xdr:col>
      <xdr:colOff>2121478</xdr:colOff>
      <xdr:row>35</xdr:row>
      <xdr:rowOff>378664</xdr:rowOff>
    </xdr:from>
    <xdr:to>
      <xdr:col>60</xdr:col>
      <xdr:colOff>807454</xdr:colOff>
      <xdr:row>39</xdr:row>
      <xdr:rowOff>24767</xdr:rowOff>
    </xdr:to>
    <xdr:grpSp>
      <xdr:nvGrpSpPr>
        <xdr:cNvPr id="732" name="Group 252">
          <a:extLst>
            <a:ext uri="{FF2B5EF4-FFF2-40B4-BE49-F238E27FC236}">
              <a16:creationId xmlns:a16="http://schemas.microsoft.com/office/drawing/2014/main" id="{214FD5B1-E658-453F-A03F-9E5F0E3C39BB}"/>
            </a:ext>
          </a:extLst>
        </xdr:cNvPr>
        <xdr:cNvGrpSpPr/>
      </xdr:nvGrpSpPr>
      <xdr:grpSpPr>
        <a:xfrm>
          <a:off x="97477311" y="15124775"/>
          <a:ext cx="1825699" cy="1480548"/>
          <a:chOff x="4152900" y="18545175"/>
          <a:chExt cx="1743075" cy="1409700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9EC0BEA3-12A4-5552-3644-01BD73D13055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734" name="Group 251">
            <a:extLst>
              <a:ext uri="{FF2B5EF4-FFF2-40B4-BE49-F238E27FC236}">
                <a16:creationId xmlns:a16="http://schemas.microsoft.com/office/drawing/2014/main" id="{712B5D77-88C0-CEC1-BDC8-764F48438E30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735" name="Group 248">
              <a:extLst>
                <a:ext uri="{FF2B5EF4-FFF2-40B4-BE49-F238E27FC236}">
                  <a16:creationId xmlns:a16="http://schemas.microsoft.com/office/drawing/2014/main" id="{F30839B9-CEBA-E66A-4F0C-8451BC752B28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737" name="Group 239">
                <a:extLst>
                  <a:ext uri="{FF2B5EF4-FFF2-40B4-BE49-F238E27FC236}">
                    <a16:creationId xmlns:a16="http://schemas.microsoft.com/office/drawing/2014/main" id="{0725190B-BB91-BAF9-FF9E-F49C84CC8EA9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739" name="Line 11">
                  <a:extLst>
                    <a:ext uri="{FF2B5EF4-FFF2-40B4-BE49-F238E27FC236}">
                      <a16:creationId xmlns:a16="http://schemas.microsoft.com/office/drawing/2014/main" id="{CD52D367-84D7-8E03-58BF-F43B01A950B6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0" name="Line 12">
                  <a:extLst>
                    <a:ext uri="{FF2B5EF4-FFF2-40B4-BE49-F238E27FC236}">
                      <a16:creationId xmlns:a16="http://schemas.microsoft.com/office/drawing/2014/main" id="{1C0061C9-0B0F-2996-5DB8-54D27B7AFBA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1" name="Line 13">
                  <a:extLst>
                    <a:ext uri="{FF2B5EF4-FFF2-40B4-BE49-F238E27FC236}">
                      <a16:creationId xmlns:a16="http://schemas.microsoft.com/office/drawing/2014/main" id="{4BCF04D0-524F-D920-30AE-ED0E05E94224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2" name="Line 14">
                  <a:extLst>
                    <a:ext uri="{FF2B5EF4-FFF2-40B4-BE49-F238E27FC236}">
                      <a16:creationId xmlns:a16="http://schemas.microsoft.com/office/drawing/2014/main" id="{84D2D447-6FBB-8BD4-F3EA-A8CDBD3A5D13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3" name="Line 15">
                  <a:extLst>
                    <a:ext uri="{FF2B5EF4-FFF2-40B4-BE49-F238E27FC236}">
                      <a16:creationId xmlns:a16="http://schemas.microsoft.com/office/drawing/2014/main" id="{47191F6B-5924-4684-9333-0F2C9F0CEE8A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738" name="Straight Connector 246">
                <a:extLst>
                  <a:ext uri="{FF2B5EF4-FFF2-40B4-BE49-F238E27FC236}">
                    <a16:creationId xmlns:a16="http://schemas.microsoft.com/office/drawing/2014/main" id="{249DB0DE-44EC-6DE8-8911-CDC54E2DB85F}"/>
                  </a:ext>
                </a:extLst>
              </xdr:cNvPr>
              <xdr:cNvCxnSpPr>
                <a:stCxn id="743" idx="1"/>
                <a:endCxn id="740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736" name="Rectangle 735">
              <a:extLst>
                <a:ext uri="{FF2B5EF4-FFF2-40B4-BE49-F238E27FC236}">
                  <a16:creationId xmlns:a16="http://schemas.microsoft.com/office/drawing/2014/main" id="{46E10141-3CDF-D662-DC85-5175ADEE6678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1245749</xdr:colOff>
      <xdr:row>30</xdr:row>
      <xdr:rowOff>2851</xdr:rowOff>
    </xdr:from>
    <xdr:to>
      <xdr:col>17</xdr:col>
      <xdr:colOff>2443543</xdr:colOff>
      <xdr:row>32</xdr:row>
      <xdr:rowOff>172767</xdr:rowOff>
    </xdr:to>
    <xdr:grpSp>
      <xdr:nvGrpSpPr>
        <xdr:cNvPr id="744" name="Group 206">
          <a:extLst>
            <a:ext uri="{FF2B5EF4-FFF2-40B4-BE49-F238E27FC236}">
              <a16:creationId xmlns:a16="http://schemas.microsoft.com/office/drawing/2014/main" id="{149201A9-6CE2-468D-8D60-7EA60D4E8F74}"/>
            </a:ext>
          </a:extLst>
        </xdr:cNvPr>
        <xdr:cNvGrpSpPr/>
      </xdr:nvGrpSpPr>
      <xdr:grpSpPr>
        <a:xfrm>
          <a:off x="19085016" y="12455907"/>
          <a:ext cx="0" cy="1087138"/>
          <a:chOff x="266700" y="14344650"/>
          <a:chExt cx="1743075" cy="1314450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BBA77DF6-833B-ADF2-2F35-3D103EAB7587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46" name="Arc 26">
            <a:extLst>
              <a:ext uri="{FF2B5EF4-FFF2-40B4-BE49-F238E27FC236}">
                <a16:creationId xmlns:a16="http://schemas.microsoft.com/office/drawing/2014/main" id="{7C047DEE-865A-0B0C-F53D-A7FDEA80E769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25</xdr:col>
      <xdr:colOff>334212</xdr:colOff>
      <xdr:row>37</xdr:row>
      <xdr:rowOff>406190</xdr:rowOff>
    </xdr:from>
    <xdr:to>
      <xdr:col>27</xdr:col>
      <xdr:colOff>835526</xdr:colOff>
      <xdr:row>37</xdr:row>
      <xdr:rowOff>422028</xdr:rowOff>
    </xdr:to>
    <xdr:cxnSp macro="">
      <xdr:nvCxnSpPr>
        <xdr:cNvPr id="751" name="Straight Arrow Connector 527">
          <a:extLst>
            <a:ext uri="{FF2B5EF4-FFF2-40B4-BE49-F238E27FC236}">
              <a16:creationId xmlns:a16="http://schemas.microsoft.com/office/drawing/2014/main" id="{B8F78841-AEEB-4578-9079-BC051E46A921}"/>
            </a:ext>
          </a:extLst>
        </xdr:cNvPr>
        <xdr:cNvCxnSpPr>
          <a:stCxn id="603" idx="3"/>
          <a:endCxn id="322" idx="1"/>
        </xdr:cNvCxnSpPr>
      </xdr:nvCxnSpPr>
      <xdr:spPr>
        <a:xfrm flipV="1">
          <a:off x="35459738" y="15479085"/>
          <a:ext cx="5481051" cy="15838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126372</xdr:colOff>
      <xdr:row>34</xdr:row>
      <xdr:rowOff>54865</xdr:rowOff>
    </xdr:from>
    <xdr:to>
      <xdr:col>32</xdr:col>
      <xdr:colOff>908332</xdr:colOff>
      <xdr:row>35</xdr:row>
      <xdr:rowOff>357187</xdr:rowOff>
    </xdr:to>
    <xdr:grpSp>
      <xdr:nvGrpSpPr>
        <xdr:cNvPr id="766" name="Group 206">
          <a:extLst>
            <a:ext uri="{FF2B5EF4-FFF2-40B4-BE49-F238E27FC236}">
              <a16:creationId xmlns:a16="http://schemas.microsoft.com/office/drawing/2014/main" id="{55F92598-84D7-4FCA-BC52-3AA4EF8455F6}"/>
            </a:ext>
          </a:extLst>
        </xdr:cNvPr>
        <xdr:cNvGrpSpPr/>
      </xdr:nvGrpSpPr>
      <xdr:grpSpPr>
        <a:xfrm>
          <a:off x="42248039" y="14342365"/>
          <a:ext cx="781960" cy="760933"/>
          <a:chOff x="266700" y="14344650"/>
          <a:chExt cx="1743075" cy="1314450"/>
        </a:xfrm>
      </xdr:grpSpPr>
      <xdr:sp macro="" textlink="">
        <xdr:nvSpPr>
          <xdr:cNvPr id="767" name="Rectangle 766">
            <a:extLst>
              <a:ext uri="{FF2B5EF4-FFF2-40B4-BE49-F238E27FC236}">
                <a16:creationId xmlns:a16="http://schemas.microsoft.com/office/drawing/2014/main" id="{C4B73A5C-CE2B-B7AA-3D71-6FF18130C773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68" name="Arc 26">
            <a:extLst>
              <a:ext uri="{FF2B5EF4-FFF2-40B4-BE49-F238E27FC236}">
                <a16:creationId xmlns:a16="http://schemas.microsoft.com/office/drawing/2014/main" id="{9CB989A6-9831-62AB-F75D-EBA99D89D705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60</xdr:col>
      <xdr:colOff>807454</xdr:colOff>
      <xdr:row>37</xdr:row>
      <xdr:rowOff>201716</xdr:rowOff>
    </xdr:from>
    <xdr:to>
      <xdr:col>65</xdr:col>
      <xdr:colOff>123362</xdr:colOff>
      <xdr:row>37</xdr:row>
      <xdr:rowOff>230300</xdr:rowOff>
    </xdr:to>
    <xdr:cxnSp macro="">
      <xdr:nvCxnSpPr>
        <xdr:cNvPr id="782" name="Straight Arrow Connector 527">
          <a:extLst>
            <a:ext uri="{FF2B5EF4-FFF2-40B4-BE49-F238E27FC236}">
              <a16:creationId xmlns:a16="http://schemas.microsoft.com/office/drawing/2014/main" id="{06460385-F235-4CFF-AA27-7CD76931B4C2}"/>
            </a:ext>
          </a:extLst>
        </xdr:cNvPr>
        <xdr:cNvCxnSpPr>
          <a:stCxn id="733" idx="3"/>
          <a:endCxn id="793" idx="1"/>
        </xdr:cNvCxnSpPr>
      </xdr:nvCxnSpPr>
      <xdr:spPr>
        <a:xfrm>
          <a:off x="99867454" y="15865049"/>
          <a:ext cx="3972575" cy="28584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123362</xdr:colOff>
      <xdr:row>36</xdr:row>
      <xdr:rowOff>8221</xdr:rowOff>
    </xdr:from>
    <xdr:to>
      <xdr:col>66</xdr:col>
      <xdr:colOff>320549</xdr:colOff>
      <xdr:row>38</xdr:row>
      <xdr:rowOff>452379</xdr:rowOff>
    </xdr:to>
    <xdr:grpSp>
      <xdr:nvGrpSpPr>
        <xdr:cNvPr id="792" name="Group 352">
          <a:extLst>
            <a:ext uri="{FF2B5EF4-FFF2-40B4-BE49-F238E27FC236}">
              <a16:creationId xmlns:a16="http://schemas.microsoft.com/office/drawing/2014/main" id="{7AE3CE8A-9DB3-4376-9897-2CBE875732EB}"/>
            </a:ext>
          </a:extLst>
        </xdr:cNvPr>
        <xdr:cNvGrpSpPr/>
      </xdr:nvGrpSpPr>
      <xdr:grpSpPr>
        <a:xfrm>
          <a:off x="103557806" y="15212943"/>
          <a:ext cx="1431910" cy="1355030"/>
          <a:chOff x="4076700" y="20631150"/>
          <a:chExt cx="1743075" cy="1409700"/>
        </a:xfrm>
      </xdr:grpSpPr>
      <xdr:sp macro="" textlink="">
        <xdr:nvSpPr>
          <xdr:cNvPr id="793" name="Rectangle 792">
            <a:extLst>
              <a:ext uri="{FF2B5EF4-FFF2-40B4-BE49-F238E27FC236}">
                <a16:creationId xmlns:a16="http://schemas.microsoft.com/office/drawing/2014/main" id="{35E5E04B-6AC2-3411-A2BB-EAA7B54EA644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94" name="Picture 318">
            <a:extLst>
              <a:ext uri="{FF2B5EF4-FFF2-40B4-BE49-F238E27FC236}">
                <a16:creationId xmlns:a16="http://schemas.microsoft.com/office/drawing/2014/main" id="{41A769B1-2756-6CFA-F14F-26C34D9C6E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ln>
            <a:noFill/>
          </a:ln>
        </xdr:spPr>
      </xdr:pic>
      <xdr:grpSp>
        <xdr:nvGrpSpPr>
          <xdr:cNvPr id="795" name="Group 340">
            <a:extLst>
              <a:ext uri="{FF2B5EF4-FFF2-40B4-BE49-F238E27FC236}">
                <a16:creationId xmlns:a16="http://schemas.microsoft.com/office/drawing/2014/main" id="{71FE582D-13B7-7070-4DA3-FF22D6108A7A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</xdr:grpSpPr>
        <xdr:sp macro="" textlink="">
          <xdr:nvSpPr>
            <xdr:cNvPr id="796" name="Rectangle 80">
              <a:extLst>
                <a:ext uri="{FF2B5EF4-FFF2-40B4-BE49-F238E27FC236}">
                  <a16:creationId xmlns:a16="http://schemas.microsoft.com/office/drawing/2014/main" id="{F6496A8C-40ED-3F5C-E2D0-451DAF90678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noFill/>
            <a:ln w="28575" algn="ctr">
              <a:solidFill>
                <a:schemeClr val="tx1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797" name="Graphic 13">
              <a:extLst>
                <a:ext uri="{FF2B5EF4-FFF2-40B4-BE49-F238E27FC236}">
                  <a16:creationId xmlns:a16="http://schemas.microsoft.com/office/drawing/2014/main" id="{E6338FD0-96E2-E313-A8BD-E12C5B6E7CDA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noFill/>
          </xdr:grpSpPr>
          <xdr:sp macro="" textlink="">
            <xdr:nvSpPr>
              <xdr:cNvPr id="798" name="Freeform: Shape 343">
                <a:extLst>
                  <a:ext uri="{FF2B5EF4-FFF2-40B4-BE49-F238E27FC236}">
                    <a16:creationId xmlns:a16="http://schemas.microsoft.com/office/drawing/2014/main" id="{DEFC121C-C0C7-C14C-FBC4-7272BE27E060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no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799" name="Graphic 13">
                <a:extLst>
                  <a:ext uri="{FF2B5EF4-FFF2-40B4-BE49-F238E27FC236}">
                    <a16:creationId xmlns:a16="http://schemas.microsoft.com/office/drawing/2014/main" id="{D226C5C9-0823-A9C2-2122-753BB9966717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</xdr:grpSpPr>
            <xdr:sp macro="" textlink="">
              <xdr:nvSpPr>
                <xdr:cNvPr id="805" name="Freeform: Shape 350">
                  <a:extLst>
                    <a:ext uri="{FF2B5EF4-FFF2-40B4-BE49-F238E27FC236}">
                      <a16:creationId xmlns:a16="http://schemas.microsoft.com/office/drawing/2014/main" id="{B384EA89-A352-784D-C447-02C35E0D5698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806" name="Freeform: Shape 351">
                  <a:extLst>
                    <a:ext uri="{FF2B5EF4-FFF2-40B4-BE49-F238E27FC236}">
                      <a16:creationId xmlns:a16="http://schemas.microsoft.com/office/drawing/2014/main" id="{8448F956-DE80-27CD-7BB4-68800E64FAC4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800" name="Graphic 13">
                <a:extLst>
                  <a:ext uri="{FF2B5EF4-FFF2-40B4-BE49-F238E27FC236}">
                    <a16:creationId xmlns:a16="http://schemas.microsoft.com/office/drawing/2014/main" id="{4BD81445-33B9-6B7D-7E8C-22EAD27C3A62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</xdr:grpSpPr>
            <xdr:sp macro="" textlink="">
              <xdr:nvSpPr>
                <xdr:cNvPr id="803" name="Freeform: Shape 348">
                  <a:extLst>
                    <a:ext uri="{FF2B5EF4-FFF2-40B4-BE49-F238E27FC236}">
                      <a16:creationId xmlns:a16="http://schemas.microsoft.com/office/drawing/2014/main" id="{C5238A13-D4B1-A6E6-F62C-FD92BF688536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804" name="Freeform: Shape 349">
                  <a:extLst>
                    <a:ext uri="{FF2B5EF4-FFF2-40B4-BE49-F238E27FC236}">
                      <a16:creationId xmlns:a16="http://schemas.microsoft.com/office/drawing/2014/main" id="{0A6F88B3-A30B-7FB3-4354-645915E1E63B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801" name="Freeform: Shape 346">
                <a:extLst>
                  <a:ext uri="{FF2B5EF4-FFF2-40B4-BE49-F238E27FC236}">
                    <a16:creationId xmlns:a16="http://schemas.microsoft.com/office/drawing/2014/main" id="{9527C101-C41D-3B82-5D31-13933900F57F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802" name="Freeform: Shape 347">
                <a:extLst>
                  <a:ext uri="{FF2B5EF4-FFF2-40B4-BE49-F238E27FC236}">
                    <a16:creationId xmlns:a16="http://schemas.microsoft.com/office/drawing/2014/main" id="{D4371E34-E69E-6537-7281-7381EFC4559F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65</xdr:col>
      <xdr:colOff>831348</xdr:colOff>
      <xdr:row>26</xdr:row>
      <xdr:rowOff>172381</xdr:rowOff>
    </xdr:from>
    <xdr:to>
      <xdr:col>65</xdr:col>
      <xdr:colOff>839317</xdr:colOff>
      <xdr:row>36</xdr:row>
      <xdr:rowOff>8221</xdr:rowOff>
    </xdr:to>
    <xdr:cxnSp macro="">
      <xdr:nvCxnSpPr>
        <xdr:cNvPr id="807" name="Straight Arrow Connector 527">
          <a:extLst>
            <a:ext uri="{FF2B5EF4-FFF2-40B4-BE49-F238E27FC236}">
              <a16:creationId xmlns:a16="http://schemas.microsoft.com/office/drawing/2014/main" id="{202357F8-E310-44DE-B9CB-F9AC1016B99E}"/>
            </a:ext>
          </a:extLst>
        </xdr:cNvPr>
        <xdr:cNvCxnSpPr>
          <a:stCxn id="793" idx="0"/>
          <a:endCxn id="385" idx="2"/>
        </xdr:cNvCxnSpPr>
      </xdr:nvCxnSpPr>
      <xdr:spPr>
        <a:xfrm flipH="1" flipV="1">
          <a:off x="104548015" y="10790992"/>
          <a:ext cx="7969" cy="4421951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3045616</xdr:colOff>
      <xdr:row>25</xdr:row>
      <xdr:rowOff>172912</xdr:rowOff>
    </xdr:from>
    <xdr:to>
      <xdr:col>64</xdr:col>
      <xdr:colOff>2267880</xdr:colOff>
      <xdr:row>35</xdr:row>
      <xdr:rowOff>378664</xdr:rowOff>
    </xdr:to>
    <xdr:cxnSp macro="">
      <xdr:nvCxnSpPr>
        <xdr:cNvPr id="808" name="Straight Arrow Connector 675">
          <a:extLst>
            <a:ext uri="{FF2B5EF4-FFF2-40B4-BE49-F238E27FC236}">
              <a16:creationId xmlns:a16="http://schemas.microsoft.com/office/drawing/2014/main" id="{8F6F8778-1500-431C-B3E6-92BFE8653D78}"/>
            </a:ext>
          </a:extLst>
        </xdr:cNvPr>
        <xdr:cNvCxnSpPr>
          <a:stCxn id="733" idx="0"/>
          <a:endCxn id="385" idx="1"/>
        </xdr:cNvCxnSpPr>
      </xdr:nvCxnSpPr>
      <xdr:spPr>
        <a:xfrm flipV="1">
          <a:off x="102143716" y="10193212"/>
          <a:ext cx="6156464" cy="4650752"/>
        </a:xfrm>
        <a:prstGeom prst="straightConnector1">
          <a:avLst/>
        </a:prstGeom>
        <a:ln>
          <a:prstDash val="dashDot"/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2315801</xdr:colOff>
      <xdr:row>34</xdr:row>
      <xdr:rowOff>170936</xdr:rowOff>
    </xdr:from>
    <xdr:to>
      <xdr:col>26</xdr:col>
      <xdr:colOff>355136</xdr:colOff>
      <xdr:row>36</xdr:row>
      <xdr:rowOff>63590</xdr:rowOff>
    </xdr:to>
    <xdr:grpSp>
      <xdr:nvGrpSpPr>
        <xdr:cNvPr id="585" name="Group 206">
          <a:extLst>
            <a:ext uri="{FF2B5EF4-FFF2-40B4-BE49-F238E27FC236}">
              <a16:creationId xmlns:a16="http://schemas.microsoft.com/office/drawing/2014/main" id="{C09501A3-7CE6-4A55-9226-86C7ECB07ABE}"/>
            </a:ext>
          </a:extLst>
        </xdr:cNvPr>
        <xdr:cNvGrpSpPr/>
      </xdr:nvGrpSpPr>
      <xdr:grpSpPr>
        <a:xfrm>
          <a:off x="33557095" y="14458436"/>
          <a:ext cx="347208" cy="809876"/>
          <a:chOff x="266700" y="14344650"/>
          <a:chExt cx="1743075" cy="1314450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C7DA021F-BC41-89B8-40EF-25204B7A44E7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87" name="Arc 26">
            <a:extLst>
              <a:ext uri="{FF2B5EF4-FFF2-40B4-BE49-F238E27FC236}">
                <a16:creationId xmlns:a16="http://schemas.microsoft.com/office/drawing/2014/main" id="{F26ECDD3-B8B2-1F2F-8E93-D917A99A90BD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25</xdr:col>
      <xdr:colOff>637785</xdr:colOff>
      <xdr:row>35</xdr:row>
      <xdr:rowOff>186253</xdr:rowOff>
    </xdr:from>
    <xdr:to>
      <xdr:col>25</xdr:col>
      <xdr:colOff>2573422</xdr:colOff>
      <xdr:row>38</xdr:row>
      <xdr:rowOff>133685</xdr:rowOff>
    </xdr:to>
    <xdr:grpSp>
      <xdr:nvGrpSpPr>
        <xdr:cNvPr id="813" name="Group 224">
          <a:extLst>
            <a:ext uri="{FF2B5EF4-FFF2-40B4-BE49-F238E27FC236}">
              <a16:creationId xmlns:a16="http://schemas.microsoft.com/office/drawing/2014/main" id="{599499D4-1D3A-400F-8CAB-B531FEECBFEE}"/>
            </a:ext>
          </a:extLst>
        </xdr:cNvPr>
        <xdr:cNvGrpSpPr/>
      </xdr:nvGrpSpPr>
      <xdr:grpSpPr>
        <a:xfrm>
          <a:off x="33561829" y="14932364"/>
          <a:ext cx="0" cy="1323265"/>
          <a:chOff x="3733800" y="16354425"/>
          <a:chExt cx="1743075" cy="1409700"/>
        </a:xfrm>
      </xdr:grpSpPr>
      <xdr:sp macro="" textlink="">
        <xdr:nvSpPr>
          <xdr:cNvPr id="814" name="Rectangle 813">
            <a:extLst>
              <a:ext uri="{FF2B5EF4-FFF2-40B4-BE49-F238E27FC236}">
                <a16:creationId xmlns:a16="http://schemas.microsoft.com/office/drawing/2014/main" id="{63BF0059-C265-BBE1-7F5C-E48BA98B42C1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15" name="Group 212">
            <a:extLst>
              <a:ext uri="{FF2B5EF4-FFF2-40B4-BE49-F238E27FC236}">
                <a16:creationId xmlns:a16="http://schemas.microsoft.com/office/drawing/2014/main" id="{197D7009-97AB-33C5-D210-0F5DE9D9B71B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816" name="Line 11">
              <a:extLst>
                <a:ext uri="{FF2B5EF4-FFF2-40B4-BE49-F238E27FC236}">
                  <a16:creationId xmlns:a16="http://schemas.microsoft.com/office/drawing/2014/main" id="{2E2D3F8C-E150-B21B-EABF-F24D1FEEACE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17" name="Line 12">
              <a:extLst>
                <a:ext uri="{FF2B5EF4-FFF2-40B4-BE49-F238E27FC236}">
                  <a16:creationId xmlns:a16="http://schemas.microsoft.com/office/drawing/2014/main" id="{4FA92281-B37E-B5C1-D0D5-2A389EBFD70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18" name="Line 13">
              <a:extLst>
                <a:ext uri="{FF2B5EF4-FFF2-40B4-BE49-F238E27FC236}">
                  <a16:creationId xmlns:a16="http://schemas.microsoft.com/office/drawing/2014/main" id="{378A3CE1-7371-8A32-88C0-8A60B6BF1BE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19" name="Line 14">
              <a:extLst>
                <a:ext uri="{FF2B5EF4-FFF2-40B4-BE49-F238E27FC236}">
                  <a16:creationId xmlns:a16="http://schemas.microsoft.com/office/drawing/2014/main" id="{416E99D6-95D0-BD24-317A-6380B7E59F5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20" name="Line 15">
              <a:extLst>
                <a:ext uri="{FF2B5EF4-FFF2-40B4-BE49-F238E27FC236}">
                  <a16:creationId xmlns:a16="http://schemas.microsoft.com/office/drawing/2014/main" id="{EAA09957-0E21-5325-E8AA-4F4C0404396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26</xdr:col>
      <xdr:colOff>368472</xdr:colOff>
      <xdr:row>36</xdr:row>
      <xdr:rowOff>68228</xdr:rowOff>
    </xdr:from>
    <xdr:to>
      <xdr:col>27</xdr:col>
      <xdr:colOff>367577</xdr:colOff>
      <xdr:row>39</xdr:row>
      <xdr:rowOff>157001</xdr:rowOff>
    </xdr:to>
    <xdr:grpSp>
      <xdr:nvGrpSpPr>
        <xdr:cNvPr id="821" name="Group 89">
          <a:extLst>
            <a:ext uri="{FF2B5EF4-FFF2-40B4-BE49-F238E27FC236}">
              <a16:creationId xmlns:a16="http://schemas.microsoft.com/office/drawing/2014/main" id="{A7C92F28-72B0-4B4F-B8E7-F7DA2823F14D}"/>
            </a:ext>
          </a:extLst>
        </xdr:cNvPr>
        <xdr:cNvGrpSpPr/>
      </xdr:nvGrpSpPr>
      <xdr:grpSpPr>
        <a:xfrm>
          <a:off x="33917639" y="15272950"/>
          <a:ext cx="598827" cy="1464607"/>
          <a:chOff x="571500" y="40290750"/>
          <a:chExt cx="1743075" cy="1409700"/>
        </a:xfrm>
      </xdr:grpSpPr>
      <xdr:sp macro="" textlink="">
        <xdr:nvSpPr>
          <xdr:cNvPr id="822" name="Rectangle 821">
            <a:extLst>
              <a:ext uri="{FF2B5EF4-FFF2-40B4-BE49-F238E27FC236}">
                <a16:creationId xmlns:a16="http://schemas.microsoft.com/office/drawing/2014/main" id="{28FDB897-370A-A88D-2C85-DFC97BD92632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823" name="Straight Connector 92">
            <a:extLst>
              <a:ext uri="{FF2B5EF4-FFF2-40B4-BE49-F238E27FC236}">
                <a16:creationId xmlns:a16="http://schemas.microsoft.com/office/drawing/2014/main" id="{DD9131B1-F099-15B5-C2F2-2F2E90F6F578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4" name="Isosceles Triangle 103">
            <a:extLst>
              <a:ext uri="{FF2B5EF4-FFF2-40B4-BE49-F238E27FC236}">
                <a16:creationId xmlns:a16="http://schemas.microsoft.com/office/drawing/2014/main" id="{4B7A72E3-D8FE-D782-90BD-AA822A52D476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25" name="Rectangle 824">
            <a:extLst>
              <a:ext uri="{FF2B5EF4-FFF2-40B4-BE49-F238E27FC236}">
                <a16:creationId xmlns:a16="http://schemas.microsoft.com/office/drawing/2014/main" id="{1A169C37-0D81-AA95-56EA-70845D422C7B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32</xdr:col>
      <xdr:colOff>1068964</xdr:colOff>
      <xdr:row>36</xdr:row>
      <xdr:rowOff>225545</xdr:rowOff>
    </xdr:from>
    <xdr:to>
      <xdr:col>32</xdr:col>
      <xdr:colOff>2364204</xdr:colOff>
      <xdr:row>39</xdr:row>
      <xdr:rowOff>32839</xdr:rowOff>
    </xdr:to>
    <xdr:grpSp>
      <xdr:nvGrpSpPr>
        <xdr:cNvPr id="826" name="Group 89">
          <a:extLst>
            <a:ext uri="{FF2B5EF4-FFF2-40B4-BE49-F238E27FC236}">
              <a16:creationId xmlns:a16="http://schemas.microsoft.com/office/drawing/2014/main" id="{93522396-3765-4884-A6D9-C8E182185F19}"/>
            </a:ext>
          </a:extLst>
        </xdr:cNvPr>
        <xdr:cNvGrpSpPr/>
      </xdr:nvGrpSpPr>
      <xdr:grpSpPr>
        <a:xfrm>
          <a:off x="43190631" y="15430267"/>
          <a:ext cx="1295240" cy="1183128"/>
          <a:chOff x="571500" y="40290750"/>
          <a:chExt cx="1743075" cy="1409700"/>
        </a:xfrm>
      </xdr:grpSpPr>
      <xdr:sp macro="" textlink="">
        <xdr:nvSpPr>
          <xdr:cNvPr id="827" name="Rectangle 826">
            <a:extLst>
              <a:ext uri="{FF2B5EF4-FFF2-40B4-BE49-F238E27FC236}">
                <a16:creationId xmlns:a16="http://schemas.microsoft.com/office/drawing/2014/main" id="{56B47312-8F3E-8170-DC07-AF832D388D14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828" name="Straight Connector 92">
            <a:extLst>
              <a:ext uri="{FF2B5EF4-FFF2-40B4-BE49-F238E27FC236}">
                <a16:creationId xmlns:a16="http://schemas.microsoft.com/office/drawing/2014/main" id="{5DAE1D4A-7C1D-E71D-4D69-2E5EB2545C17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9" name="Isosceles Triangle 103">
            <a:extLst>
              <a:ext uri="{FF2B5EF4-FFF2-40B4-BE49-F238E27FC236}">
                <a16:creationId xmlns:a16="http://schemas.microsoft.com/office/drawing/2014/main" id="{B0030781-5420-9EF9-51C4-41B3F2956993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30" name="Rectangle 829">
            <a:extLst>
              <a:ext uri="{FF2B5EF4-FFF2-40B4-BE49-F238E27FC236}">
                <a16:creationId xmlns:a16="http://schemas.microsoft.com/office/drawing/2014/main" id="{E77EA473-3FBB-3654-39DB-CF1C2F3B707D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31</xdr:col>
      <xdr:colOff>204703</xdr:colOff>
      <xdr:row>36</xdr:row>
      <xdr:rowOff>11488</xdr:rowOff>
    </xdr:from>
    <xdr:to>
      <xdr:col>32</xdr:col>
      <xdr:colOff>611048</xdr:colOff>
      <xdr:row>39</xdr:row>
      <xdr:rowOff>111164</xdr:rowOff>
    </xdr:to>
    <xdr:grpSp>
      <xdr:nvGrpSpPr>
        <xdr:cNvPr id="831" name="Group 224">
          <a:extLst>
            <a:ext uri="{FF2B5EF4-FFF2-40B4-BE49-F238E27FC236}">
              <a16:creationId xmlns:a16="http://schemas.microsoft.com/office/drawing/2014/main" id="{3E57C188-6700-4289-BE0E-0E70BDE32AE2}"/>
            </a:ext>
          </a:extLst>
        </xdr:cNvPr>
        <xdr:cNvGrpSpPr/>
      </xdr:nvGrpSpPr>
      <xdr:grpSpPr>
        <a:xfrm>
          <a:off x="40844703" y="15216210"/>
          <a:ext cx="1888012" cy="1475510"/>
          <a:chOff x="3733800" y="16354425"/>
          <a:chExt cx="1743075" cy="1409700"/>
        </a:xfrm>
      </xdr:grpSpPr>
      <xdr:sp macro="" textlink="">
        <xdr:nvSpPr>
          <xdr:cNvPr id="832" name="Rectangle 831">
            <a:extLst>
              <a:ext uri="{FF2B5EF4-FFF2-40B4-BE49-F238E27FC236}">
                <a16:creationId xmlns:a16="http://schemas.microsoft.com/office/drawing/2014/main" id="{804BC485-90D2-8955-496D-2C996A6F3AD1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33" name="Group 212">
            <a:extLst>
              <a:ext uri="{FF2B5EF4-FFF2-40B4-BE49-F238E27FC236}">
                <a16:creationId xmlns:a16="http://schemas.microsoft.com/office/drawing/2014/main" id="{7CD07D2E-8BFD-95FE-EB08-720DFE367EF2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834" name="Line 11">
              <a:extLst>
                <a:ext uri="{FF2B5EF4-FFF2-40B4-BE49-F238E27FC236}">
                  <a16:creationId xmlns:a16="http://schemas.microsoft.com/office/drawing/2014/main" id="{E2321C13-B3A1-2B0D-5F0E-CD293392AA0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35" name="Line 12">
              <a:extLst>
                <a:ext uri="{FF2B5EF4-FFF2-40B4-BE49-F238E27FC236}">
                  <a16:creationId xmlns:a16="http://schemas.microsoft.com/office/drawing/2014/main" id="{4F19D606-00BB-A11F-CBED-C8BA513BFA79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36" name="Line 13">
              <a:extLst>
                <a:ext uri="{FF2B5EF4-FFF2-40B4-BE49-F238E27FC236}">
                  <a16:creationId xmlns:a16="http://schemas.microsoft.com/office/drawing/2014/main" id="{8AFA9848-360A-5DDE-CE7C-CA7B02FB70D7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37" name="Line 14">
              <a:extLst>
                <a:ext uri="{FF2B5EF4-FFF2-40B4-BE49-F238E27FC236}">
                  <a16:creationId xmlns:a16="http://schemas.microsoft.com/office/drawing/2014/main" id="{7F39E442-F6E9-CC78-B1E5-82592A735C6B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38" name="Line 15">
              <a:extLst>
                <a:ext uri="{FF2B5EF4-FFF2-40B4-BE49-F238E27FC236}">
                  <a16:creationId xmlns:a16="http://schemas.microsoft.com/office/drawing/2014/main" id="{3E0378BA-C816-2F06-4C38-EDF3A9CF7A38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49</xdr:col>
      <xdr:colOff>771071</xdr:colOff>
      <xdr:row>39</xdr:row>
      <xdr:rowOff>204105</xdr:rowOff>
    </xdr:from>
    <xdr:to>
      <xdr:col>50</xdr:col>
      <xdr:colOff>1360714</xdr:colOff>
      <xdr:row>42</xdr:row>
      <xdr:rowOff>158750</xdr:rowOff>
    </xdr:to>
    <xdr:grpSp>
      <xdr:nvGrpSpPr>
        <xdr:cNvPr id="852" name="Group 89">
          <a:extLst>
            <a:ext uri="{FF2B5EF4-FFF2-40B4-BE49-F238E27FC236}">
              <a16:creationId xmlns:a16="http://schemas.microsoft.com/office/drawing/2014/main" id="{7BDF0F7E-11A8-46C7-83F0-236D6F5D0DBF}"/>
            </a:ext>
          </a:extLst>
        </xdr:cNvPr>
        <xdr:cNvGrpSpPr/>
      </xdr:nvGrpSpPr>
      <xdr:grpSpPr>
        <a:xfrm>
          <a:off x="79017182" y="16784661"/>
          <a:ext cx="1080710" cy="1330478"/>
          <a:chOff x="571500" y="40290750"/>
          <a:chExt cx="1743075" cy="1409700"/>
        </a:xfrm>
      </xdr:grpSpPr>
      <xdr:sp macro="" textlink="">
        <xdr:nvSpPr>
          <xdr:cNvPr id="853" name="Rectangle 852">
            <a:extLst>
              <a:ext uri="{FF2B5EF4-FFF2-40B4-BE49-F238E27FC236}">
                <a16:creationId xmlns:a16="http://schemas.microsoft.com/office/drawing/2014/main" id="{C06DFB1E-82B8-C928-30FC-C75B7E830C93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854" name="Straight Connector 92">
            <a:extLst>
              <a:ext uri="{FF2B5EF4-FFF2-40B4-BE49-F238E27FC236}">
                <a16:creationId xmlns:a16="http://schemas.microsoft.com/office/drawing/2014/main" id="{5313F1D6-233B-5DAA-009B-CB76EDB4DC16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5" name="Isosceles Triangle 103">
            <a:extLst>
              <a:ext uri="{FF2B5EF4-FFF2-40B4-BE49-F238E27FC236}">
                <a16:creationId xmlns:a16="http://schemas.microsoft.com/office/drawing/2014/main" id="{BCCA5664-D9FC-3EF1-DC04-5CE6AE0E5375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56" name="Rectangle 855">
            <a:extLst>
              <a:ext uri="{FF2B5EF4-FFF2-40B4-BE49-F238E27FC236}">
                <a16:creationId xmlns:a16="http://schemas.microsoft.com/office/drawing/2014/main" id="{56B23CFD-16AB-CFB8-FFDB-CA43862946B6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22</xdr:col>
      <xdr:colOff>1269135</xdr:colOff>
      <xdr:row>36</xdr:row>
      <xdr:rowOff>75371</xdr:rowOff>
    </xdr:from>
    <xdr:to>
      <xdr:col>25</xdr:col>
      <xdr:colOff>334212</xdr:colOff>
      <xdr:row>39</xdr:row>
      <xdr:rowOff>334211</xdr:rowOff>
    </xdr:to>
    <xdr:grpSp>
      <xdr:nvGrpSpPr>
        <xdr:cNvPr id="600" name="Group 59">
          <a:extLst>
            <a:ext uri="{FF2B5EF4-FFF2-40B4-BE49-F238E27FC236}">
              <a16:creationId xmlns:a16="http://schemas.microsoft.com/office/drawing/2014/main" id="{CE0B0D9D-A5E5-4C33-87BB-D08A72ACDC35}"/>
            </a:ext>
          </a:extLst>
        </xdr:cNvPr>
        <xdr:cNvGrpSpPr/>
      </xdr:nvGrpSpPr>
      <xdr:grpSpPr>
        <a:xfrm>
          <a:off x="29314968" y="15280093"/>
          <a:ext cx="4241738" cy="1634674"/>
          <a:chOff x="600075" y="7658100"/>
          <a:chExt cx="1714500" cy="1409700"/>
        </a:xfrm>
      </xdr:grpSpPr>
      <xdr:grpSp>
        <xdr:nvGrpSpPr>
          <xdr:cNvPr id="601" name="Group 58">
            <a:extLst>
              <a:ext uri="{FF2B5EF4-FFF2-40B4-BE49-F238E27FC236}">
                <a16:creationId xmlns:a16="http://schemas.microsoft.com/office/drawing/2014/main" id="{076EBA23-9F6C-C895-F786-C234490A31DB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603" name="Rectangle 602">
              <a:extLst>
                <a:ext uri="{FF2B5EF4-FFF2-40B4-BE49-F238E27FC236}">
                  <a16:creationId xmlns:a16="http://schemas.microsoft.com/office/drawing/2014/main" id="{B0AB549F-131E-359E-6EBE-520327668A4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04" name="Rectangle 603">
              <a:extLst>
                <a:ext uri="{FF2B5EF4-FFF2-40B4-BE49-F238E27FC236}">
                  <a16:creationId xmlns:a16="http://schemas.microsoft.com/office/drawing/2014/main" id="{3DB95CD0-EFF5-BDDF-0394-E277ECE3B245}"/>
                </a:ext>
              </a:extLst>
            </xdr:cNvPr>
            <xdr:cNvSpPr/>
          </xdr:nvSpPr>
          <xdr:spPr>
            <a:xfrm>
              <a:off x="590550" y="7658100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/>
                <a:t>DENIFER</a:t>
              </a:r>
              <a:r>
                <a:rPr lang="fr-FR" sz="1400"/>
                <a:t> </a:t>
              </a:r>
            </a:p>
          </xdr:txBody>
        </xdr:sp>
        <xdr:sp macro="" textlink="">
          <xdr:nvSpPr>
            <xdr:cNvPr id="605" name="Oval 55">
              <a:extLst>
                <a:ext uri="{FF2B5EF4-FFF2-40B4-BE49-F238E27FC236}">
                  <a16:creationId xmlns:a16="http://schemas.microsoft.com/office/drawing/2014/main" id="{42F9FC1A-B174-AB3F-93E7-410E2C33F56B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02" name="Freeform: Shape 57">
            <a:extLst>
              <a:ext uri="{FF2B5EF4-FFF2-40B4-BE49-F238E27FC236}">
                <a16:creationId xmlns:a16="http://schemas.microsoft.com/office/drawing/2014/main" id="{B9174EBB-1AE6-93DE-2D81-350BAB95C2C4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22</xdr:col>
      <xdr:colOff>1000351</xdr:colOff>
      <xdr:row>33</xdr:row>
      <xdr:rowOff>300789</xdr:rowOff>
    </xdr:from>
    <xdr:to>
      <xdr:col>25</xdr:col>
      <xdr:colOff>233948</xdr:colOff>
      <xdr:row>36</xdr:row>
      <xdr:rowOff>133683</xdr:rowOff>
    </xdr:to>
    <xdr:grpSp>
      <xdr:nvGrpSpPr>
        <xdr:cNvPr id="606" name="Group 449">
          <a:extLst>
            <a:ext uri="{FF2B5EF4-FFF2-40B4-BE49-F238E27FC236}">
              <a16:creationId xmlns:a16="http://schemas.microsoft.com/office/drawing/2014/main" id="{E6DE30A4-71CB-47AE-8660-5A322D1C88B4}"/>
            </a:ext>
          </a:extLst>
        </xdr:cNvPr>
        <xdr:cNvGrpSpPr/>
      </xdr:nvGrpSpPr>
      <xdr:grpSpPr>
        <a:xfrm>
          <a:off x="29046184" y="14129678"/>
          <a:ext cx="4454708" cy="1208727"/>
          <a:chOff x="504825" y="31394400"/>
          <a:chExt cx="1743075" cy="1409700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8BCD9405-7361-0EE7-2996-0442A91D122D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40" name="Freeform 43">
            <a:extLst>
              <a:ext uri="{FF2B5EF4-FFF2-40B4-BE49-F238E27FC236}">
                <a16:creationId xmlns:a16="http://schemas.microsoft.com/office/drawing/2014/main" id="{8759BB81-8C58-99EF-E2C8-95D0E757CA2B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20</xdr:col>
      <xdr:colOff>1489743</xdr:colOff>
      <xdr:row>36</xdr:row>
      <xdr:rowOff>74443</xdr:rowOff>
    </xdr:from>
    <xdr:to>
      <xdr:col>21</xdr:col>
      <xdr:colOff>1204898</xdr:colOff>
      <xdr:row>38</xdr:row>
      <xdr:rowOff>281276</xdr:rowOff>
    </xdr:to>
    <xdr:grpSp>
      <xdr:nvGrpSpPr>
        <xdr:cNvPr id="679" name="Group 224">
          <a:extLst>
            <a:ext uri="{FF2B5EF4-FFF2-40B4-BE49-F238E27FC236}">
              <a16:creationId xmlns:a16="http://schemas.microsoft.com/office/drawing/2014/main" id="{4424DEBE-397B-463F-89E3-08106AA25D7D}"/>
            </a:ext>
          </a:extLst>
        </xdr:cNvPr>
        <xdr:cNvGrpSpPr/>
      </xdr:nvGrpSpPr>
      <xdr:grpSpPr>
        <a:xfrm>
          <a:off x="23079743" y="15279165"/>
          <a:ext cx="2678488" cy="1124055"/>
          <a:chOff x="3733800" y="16354425"/>
          <a:chExt cx="1743075" cy="1409700"/>
        </a:xfrm>
      </xdr:grpSpPr>
      <xdr:sp macro="" textlink="">
        <xdr:nvSpPr>
          <xdr:cNvPr id="680" name="Rectangle 679">
            <a:extLst>
              <a:ext uri="{FF2B5EF4-FFF2-40B4-BE49-F238E27FC236}">
                <a16:creationId xmlns:a16="http://schemas.microsoft.com/office/drawing/2014/main" id="{7974FA89-E261-3E82-B41C-62E5E1E59073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82" name="Group 212">
            <a:extLst>
              <a:ext uri="{FF2B5EF4-FFF2-40B4-BE49-F238E27FC236}">
                <a16:creationId xmlns:a16="http://schemas.microsoft.com/office/drawing/2014/main" id="{7D0CD8A9-1F25-5931-2FEF-E89D235B5382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683" name="Line 11">
              <a:extLst>
                <a:ext uri="{FF2B5EF4-FFF2-40B4-BE49-F238E27FC236}">
                  <a16:creationId xmlns:a16="http://schemas.microsoft.com/office/drawing/2014/main" id="{CA195482-BA60-EEB5-338A-4C5728A6C792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20" name="Line 12">
              <a:extLst>
                <a:ext uri="{FF2B5EF4-FFF2-40B4-BE49-F238E27FC236}">
                  <a16:creationId xmlns:a16="http://schemas.microsoft.com/office/drawing/2014/main" id="{44D873FF-F77B-517A-3DBB-1DEA6690F02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22" name="Line 13">
              <a:extLst>
                <a:ext uri="{FF2B5EF4-FFF2-40B4-BE49-F238E27FC236}">
                  <a16:creationId xmlns:a16="http://schemas.microsoft.com/office/drawing/2014/main" id="{883602A1-5E6A-821B-C0C0-1A8B8909C21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23" name="Line 14">
              <a:extLst>
                <a:ext uri="{FF2B5EF4-FFF2-40B4-BE49-F238E27FC236}">
                  <a16:creationId xmlns:a16="http://schemas.microsoft.com/office/drawing/2014/main" id="{E225DB1F-28F8-B3E0-0571-51DF2453D45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48" name="Line 15">
              <a:extLst>
                <a:ext uri="{FF2B5EF4-FFF2-40B4-BE49-F238E27FC236}">
                  <a16:creationId xmlns:a16="http://schemas.microsoft.com/office/drawing/2014/main" id="{36396428-0AE2-54FA-5128-2E89F98DE237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20</xdr:col>
      <xdr:colOff>668421</xdr:colOff>
      <xdr:row>37</xdr:row>
      <xdr:rowOff>422028</xdr:rowOff>
    </xdr:from>
    <xdr:to>
      <xdr:col>22</xdr:col>
      <xdr:colOff>1296991</xdr:colOff>
      <xdr:row>38</xdr:row>
      <xdr:rowOff>66843</xdr:rowOff>
    </xdr:to>
    <xdr:cxnSp macro="">
      <xdr:nvCxnSpPr>
        <xdr:cNvPr id="754" name="Straight Arrow Connector 532">
          <a:extLst>
            <a:ext uri="{FF2B5EF4-FFF2-40B4-BE49-F238E27FC236}">
              <a16:creationId xmlns:a16="http://schemas.microsoft.com/office/drawing/2014/main" id="{C5DA55F9-36A4-402A-9BC6-BB8812E5836C}"/>
            </a:ext>
          </a:extLst>
        </xdr:cNvPr>
        <xdr:cNvCxnSpPr>
          <a:endCxn id="603" idx="1"/>
        </xdr:cNvCxnSpPr>
      </xdr:nvCxnSpPr>
      <xdr:spPr>
        <a:xfrm flipV="1">
          <a:off x="25934737" y="15494923"/>
          <a:ext cx="4538833" cy="79288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930568</xdr:colOff>
      <xdr:row>33</xdr:row>
      <xdr:rowOff>316457</xdr:rowOff>
    </xdr:from>
    <xdr:to>
      <xdr:col>21</xdr:col>
      <xdr:colOff>1841330</xdr:colOff>
      <xdr:row>35</xdr:row>
      <xdr:rowOff>222340</xdr:rowOff>
    </xdr:to>
    <xdr:grpSp>
      <xdr:nvGrpSpPr>
        <xdr:cNvPr id="758" name="Group 206">
          <a:extLst>
            <a:ext uri="{FF2B5EF4-FFF2-40B4-BE49-F238E27FC236}">
              <a16:creationId xmlns:a16="http://schemas.microsoft.com/office/drawing/2014/main" id="{F7227FE9-2ADC-4D70-A91C-A459FEBBEC0B}"/>
            </a:ext>
          </a:extLst>
        </xdr:cNvPr>
        <xdr:cNvGrpSpPr/>
      </xdr:nvGrpSpPr>
      <xdr:grpSpPr>
        <a:xfrm>
          <a:off x="25483901" y="14145346"/>
          <a:ext cx="910762" cy="823105"/>
          <a:chOff x="266700" y="14344650"/>
          <a:chExt cx="1743075" cy="1314450"/>
        </a:xfrm>
      </xdr:grpSpPr>
      <xdr:sp macro="" textlink="">
        <xdr:nvSpPr>
          <xdr:cNvPr id="759" name="Rectangle 758">
            <a:extLst>
              <a:ext uri="{FF2B5EF4-FFF2-40B4-BE49-F238E27FC236}">
                <a16:creationId xmlns:a16="http://schemas.microsoft.com/office/drawing/2014/main" id="{0E929705-5B8E-B5C3-2429-6F1049F73AC8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60" name="Arc 26">
            <a:extLst>
              <a:ext uri="{FF2B5EF4-FFF2-40B4-BE49-F238E27FC236}">
                <a16:creationId xmlns:a16="http://schemas.microsoft.com/office/drawing/2014/main" id="{9691D548-0E3C-21B7-9B5A-D7914E4C407C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21</xdr:col>
      <xdr:colOff>0</xdr:colOff>
      <xdr:row>40</xdr:row>
      <xdr:rowOff>0</xdr:rowOff>
    </xdr:from>
    <xdr:to>
      <xdr:col>21</xdr:col>
      <xdr:colOff>1821411</xdr:colOff>
      <xdr:row>42</xdr:row>
      <xdr:rowOff>336668</xdr:rowOff>
    </xdr:to>
    <xdr:grpSp>
      <xdr:nvGrpSpPr>
        <xdr:cNvPr id="115" name="Group 89">
          <a:extLst>
            <a:ext uri="{FF2B5EF4-FFF2-40B4-BE49-F238E27FC236}">
              <a16:creationId xmlns:a16="http://schemas.microsoft.com/office/drawing/2014/main" id="{3236A3F8-AEB6-4856-8355-DED89F5D2E6F}"/>
            </a:ext>
          </a:extLst>
        </xdr:cNvPr>
        <xdr:cNvGrpSpPr/>
      </xdr:nvGrpSpPr>
      <xdr:grpSpPr>
        <a:xfrm>
          <a:off x="24553333" y="17039167"/>
          <a:ext cx="1821411" cy="1253890"/>
          <a:chOff x="571500" y="40290750"/>
          <a:chExt cx="1743075" cy="1409700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28BCEE7-7F90-60AC-EB37-F8788F96B92B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119" name="Straight Connector 92">
            <a:extLst>
              <a:ext uri="{FF2B5EF4-FFF2-40B4-BE49-F238E27FC236}">
                <a16:creationId xmlns:a16="http://schemas.microsoft.com/office/drawing/2014/main" id="{1278DF92-FE89-335B-074E-A35E9552D181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Isosceles Triangle 103">
            <a:extLst>
              <a:ext uri="{FF2B5EF4-FFF2-40B4-BE49-F238E27FC236}">
                <a16:creationId xmlns:a16="http://schemas.microsoft.com/office/drawing/2014/main" id="{C36CBE9A-BE73-6419-47CD-1605B53B5403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2" name="Rectangle 131">
            <a:extLst>
              <a:ext uri="{FF2B5EF4-FFF2-40B4-BE49-F238E27FC236}">
                <a16:creationId xmlns:a16="http://schemas.microsoft.com/office/drawing/2014/main" id="{B61DF839-FF0C-6575-3FE2-DD0FE65E9B67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21</xdr:col>
      <xdr:colOff>467894</xdr:colOff>
      <xdr:row>42</xdr:row>
      <xdr:rowOff>214295</xdr:rowOff>
    </xdr:from>
    <xdr:to>
      <xdr:col>21</xdr:col>
      <xdr:colOff>1606628</xdr:colOff>
      <xdr:row>43</xdr:row>
      <xdr:rowOff>300789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3EF6269F-D6A2-4B04-B09E-D6F514600452}"/>
            </a:ext>
          </a:extLst>
        </xdr:cNvPr>
        <xdr:cNvSpPr/>
      </xdr:nvSpPr>
      <xdr:spPr>
        <a:xfrm>
          <a:off x="27304999" y="17459558"/>
          <a:ext cx="1138734" cy="52096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400</a:t>
          </a:r>
          <a:endParaRPr lang="fr-FR" sz="1200" b="1"/>
        </a:p>
      </xdr:txBody>
    </xdr:sp>
    <xdr:clientData/>
  </xdr:twoCellAnchor>
  <xdr:twoCellAnchor>
    <xdr:from>
      <xdr:col>55</xdr:col>
      <xdr:colOff>3123470</xdr:colOff>
      <xdr:row>35</xdr:row>
      <xdr:rowOff>303327</xdr:rowOff>
    </xdr:from>
    <xdr:to>
      <xdr:col>58</xdr:col>
      <xdr:colOff>45357</xdr:colOff>
      <xdr:row>40</xdr:row>
      <xdr:rowOff>68036</xdr:rowOff>
    </xdr:to>
    <xdr:grpSp>
      <xdr:nvGrpSpPr>
        <xdr:cNvPr id="557" name="Group 59">
          <a:extLst>
            <a:ext uri="{FF2B5EF4-FFF2-40B4-BE49-F238E27FC236}">
              <a16:creationId xmlns:a16="http://schemas.microsoft.com/office/drawing/2014/main" id="{AC4BA353-FD56-42C0-B70A-6B99621C6A87}"/>
            </a:ext>
          </a:extLst>
        </xdr:cNvPr>
        <xdr:cNvGrpSpPr/>
      </xdr:nvGrpSpPr>
      <xdr:grpSpPr>
        <a:xfrm>
          <a:off x="90153748" y="15049438"/>
          <a:ext cx="4012720" cy="2057765"/>
          <a:chOff x="600075" y="7658100"/>
          <a:chExt cx="1714500" cy="1409700"/>
        </a:xfrm>
      </xdr:grpSpPr>
      <xdr:grpSp>
        <xdr:nvGrpSpPr>
          <xdr:cNvPr id="558" name="Group 58">
            <a:extLst>
              <a:ext uri="{FF2B5EF4-FFF2-40B4-BE49-F238E27FC236}">
                <a16:creationId xmlns:a16="http://schemas.microsoft.com/office/drawing/2014/main" id="{C1B6C849-FBC0-3EA1-84EC-D84CED7D2626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560" name="Rectangle 559">
              <a:extLst>
                <a:ext uri="{FF2B5EF4-FFF2-40B4-BE49-F238E27FC236}">
                  <a16:creationId xmlns:a16="http://schemas.microsoft.com/office/drawing/2014/main" id="{92518FB7-D3EE-F2DC-E6FB-136830974AEB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61" name="Rectangle 560">
              <a:extLst>
                <a:ext uri="{FF2B5EF4-FFF2-40B4-BE49-F238E27FC236}">
                  <a16:creationId xmlns:a16="http://schemas.microsoft.com/office/drawing/2014/main" id="{D633CAB5-3933-8F34-2F22-2D12D05C0423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/>
                <a:t>CONTENTION</a:t>
              </a:r>
              <a:endParaRPr lang="fr-FR" sz="1200" b="1"/>
            </a:p>
          </xdr:txBody>
        </xdr:sp>
        <xdr:sp macro="" textlink="">
          <xdr:nvSpPr>
            <xdr:cNvPr id="562" name="Oval 55">
              <a:extLst>
                <a:ext uri="{FF2B5EF4-FFF2-40B4-BE49-F238E27FC236}">
                  <a16:creationId xmlns:a16="http://schemas.microsoft.com/office/drawing/2014/main" id="{3E92CE15-5F77-79B2-7E36-7794538C632A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59" name="Freeform: Shape 57">
            <a:extLst>
              <a:ext uri="{FF2B5EF4-FFF2-40B4-BE49-F238E27FC236}">
                <a16:creationId xmlns:a16="http://schemas.microsoft.com/office/drawing/2014/main" id="{850CF3E3-29B8-B224-0A75-D5F79C8C4584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46</xdr:col>
      <xdr:colOff>22680</xdr:colOff>
      <xdr:row>35</xdr:row>
      <xdr:rowOff>318227</xdr:rowOff>
    </xdr:from>
    <xdr:to>
      <xdr:col>48</xdr:col>
      <xdr:colOff>408215</xdr:colOff>
      <xdr:row>38</xdr:row>
      <xdr:rowOff>430894</xdr:rowOff>
    </xdr:to>
    <xdr:grpSp>
      <xdr:nvGrpSpPr>
        <xdr:cNvPr id="563" name="Group 59">
          <a:extLst>
            <a:ext uri="{FF2B5EF4-FFF2-40B4-BE49-F238E27FC236}">
              <a16:creationId xmlns:a16="http://schemas.microsoft.com/office/drawing/2014/main" id="{1353D271-69ED-46BA-AE83-499E2A038D03}"/>
            </a:ext>
          </a:extLst>
        </xdr:cNvPr>
        <xdr:cNvGrpSpPr/>
      </xdr:nvGrpSpPr>
      <xdr:grpSpPr>
        <a:xfrm>
          <a:off x="73859069" y="15064338"/>
          <a:ext cx="4124979" cy="1488500"/>
          <a:chOff x="600075" y="7658100"/>
          <a:chExt cx="1714500" cy="1409700"/>
        </a:xfrm>
      </xdr:grpSpPr>
      <xdr:grpSp>
        <xdr:nvGrpSpPr>
          <xdr:cNvPr id="564" name="Group 58">
            <a:extLst>
              <a:ext uri="{FF2B5EF4-FFF2-40B4-BE49-F238E27FC236}">
                <a16:creationId xmlns:a16="http://schemas.microsoft.com/office/drawing/2014/main" id="{DDE5D197-CC83-1754-2E8B-D1CEBB4E9051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566" name="Rectangle 565">
              <a:extLst>
                <a:ext uri="{FF2B5EF4-FFF2-40B4-BE49-F238E27FC236}">
                  <a16:creationId xmlns:a16="http://schemas.microsoft.com/office/drawing/2014/main" id="{2AB143F4-8CD5-1874-641B-5E4A4C8AAE6E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67" name="Rectangle 566">
              <a:extLst>
                <a:ext uri="{FF2B5EF4-FFF2-40B4-BE49-F238E27FC236}">
                  <a16:creationId xmlns:a16="http://schemas.microsoft.com/office/drawing/2014/main" id="{64BDD912-BC65-EBBA-C7DE-FEB0B83812A4}"/>
                </a:ext>
              </a:extLst>
            </xdr:cNvPr>
            <xdr:cNvSpPr/>
          </xdr:nvSpPr>
          <xdr:spPr>
            <a:xfrm>
              <a:off x="590550" y="7658100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/>
                <a:t>DENIFER</a:t>
              </a:r>
              <a:r>
                <a:rPr lang="fr-FR" sz="1400"/>
                <a:t> </a:t>
              </a:r>
            </a:p>
          </xdr:txBody>
        </xdr:sp>
        <xdr:sp macro="" textlink="">
          <xdr:nvSpPr>
            <xdr:cNvPr id="568" name="Oval 55">
              <a:extLst>
                <a:ext uri="{FF2B5EF4-FFF2-40B4-BE49-F238E27FC236}">
                  <a16:creationId xmlns:a16="http://schemas.microsoft.com/office/drawing/2014/main" id="{2665D762-2ADD-8239-55A0-8BB5786B48BA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65" name="Freeform: Shape 57">
            <a:extLst>
              <a:ext uri="{FF2B5EF4-FFF2-40B4-BE49-F238E27FC236}">
                <a16:creationId xmlns:a16="http://schemas.microsoft.com/office/drawing/2014/main" id="{8AB116D1-CA06-27F3-A3FD-999CAF8F3391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51</xdr:col>
      <xdr:colOff>22678</xdr:colOff>
      <xdr:row>35</xdr:row>
      <xdr:rowOff>275812</xdr:rowOff>
    </xdr:from>
    <xdr:to>
      <xdr:col>53</xdr:col>
      <xdr:colOff>22678</xdr:colOff>
      <xdr:row>39</xdr:row>
      <xdr:rowOff>90714</xdr:rowOff>
    </xdr:to>
    <xdr:grpSp>
      <xdr:nvGrpSpPr>
        <xdr:cNvPr id="569" name="Group 72">
          <a:extLst>
            <a:ext uri="{FF2B5EF4-FFF2-40B4-BE49-F238E27FC236}">
              <a16:creationId xmlns:a16="http://schemas.microsoft.com/office/drawing/2014/main" id="{00EFA5C5-CE4C-4822-8679-C2A830346F2A}"/>
            </a:ext>
          </a:extLst>
        </xdr:cNvPr>
        <xdr:cNvGrpSpPr/>
      </xdr:nvGrpSpPr>
      <xdr:grpSpPr>
        <a:xfrm>
          <a:off x="80103234" y="15021923"/>
          <a:ext cx="5185833" cy="1649347"/>
          <a:chOff x="3143250" y="8191500"/>
          <a:chExt cx="1885950" cy="1609725"/>
        </a:xfrm>
      </xdr:grpSpPr>
      <xdr:grpSp>
        <xdr:nvGrpSpPr>
          <xdr:cNvPr id="570" name="Group 66">
            <a:extLst>
              <a:ext uri="{FF2B5EF4-FFF2-40B4-BE49-F238E27FC236}">
                <a16:creationId xmlns:a16="http://schemas.microsoft.com/office/drawing/2014/main" id="{67B46D3B-065F-7832-7647-11E8EE7BC1AD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</xdr:grpSpPr>
        <xdr:grpSp>
          <xdr:nvGrpSpPr>
            <xdr:cNvPr id="577" name="Group 67">
              <a:extLst>
                <a:ext uri="{FF2B5EF4-FFF2-40B4-BE49-F238E27FC236}">
                  <a16:creationId xmlns:a16="http://schemas.microsoft.com/office/drawing/2014/main" id="{F9DAE355-7A80-81BF-DC3A-27DEC9E6BFF8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579" name="Rectangle 578">
                <a:extLst>
                  <a:ext uri="{FF2B5EF4-FFF2-40B4-BE49-F238E27FC236}">
                    <a16:creationId xmlns:a16="http://schemas.microsoft.com/office/drawing/2014/main" id="{E4160393-6537-6046-BB66-EFB928B3E1C1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90" name="Rectangle 589">
                <a:extLst>
                  <a:ext uri="{FF2B5EF4-FFF2-40B4-BE49-F238E27FC236}">
                    <a16:creationId xmlns:a16="http://schemas.microsoft.com/office/drawing/2014/main" id="{3B150FE1-577B-CC93-7E6D-19063A715613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91" name="Oval 71">
                <a:extLst>
                  <a:ext uri="{FF2B5EF4-FFF2-40B4-BE49-F238E27FC236}">
                    <a16:creationId xmlns:a16="http://schemas.microsoft.com/office/drawing/2014/main" id="{6F90A272-9470-CE2B-F3CB-47B6004FE9DF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78" name="Freeform: Shape 68">
              <a:extLst>
                <a:ext uri="{FF2B5EF4-FFF2-40B4-BE49-F238E27FC236}">
                  <a16:creationId xmlns:a16="http://schemas.microsoft.com/office/drawing/2014/main" id="{B7BCE184-DB08-8EA3-CE0C-10D657DD0BAD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571" name="Group 60">
            <a:extLst>
              <a:ext uri="{FF2B5EF4-FFF2-40B4-BE49-F238E27FC236}">
                <a16:creationId xmlns:a16="http://schemas.microsoft.com/office/drawing/2014/main" id="{41933ECD-8877-5601-0BD0-8B18B7B9F20C}"/>
              </a:ext>
            </a:extLst>
          </xdr:cNvPr>
          <xdr:cNvGrpSpPr/>
        </xdr:nvGrpSpPr>
        <xdr:grpSpPr>
          <a:xfrm>
            <a:off x="3143250" y="8391525"/>
            <a:ext cx="1714500" cy="1409700"/>
            <a:chOff x="600075" y="7658100"/>
            <a:chExt cx="1714500" cy="1409700"/>
          </a:xfrm>
        </xdr:grpSpPr>
        <xdr:grpSp>
          <xdr:nvGrpSpPr>
            <xdr:cNvPr id="572" name="Group 61">
              <a:extLst>
                <a:ext uri="{FF2B5EF4-FFF2-40B4-BE49-F238E27FC236}">
                  <a16:creationId xmlns:a16="http://schemas.microsoft.com/office/drawing/2014/main" id="{F0DD06B2-7FCF-678A-2B86-8A1AD1F623A4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574" name="Rectangle 573">
                <a:extLst>
                  <a:ext uri="{FF2B5EF4-FFF2-40B4-BE49-F238E27FC236}">
                    <a16:creationId xmlns:a16="http://schemas.microsoft.com/office/drawing/2014/main" id="{A8EDE796-15F3-1E39-EF3C-35C71D0166B3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75" name="Rectangle 574">
                <a:extLst>
                  <a:ext uri="{FF2B5EF4-FFF2-40B4-BE49-F238E27FC236}">
                    <a16:creationId xmlns:a16="http://schemas.microsoft.com/office/drawing/2014/main" id="{C9D306E2-D04D-8FEC-BC7E-9B9A8CD55DB2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2400" b="1"/>
                  <a:t>RAYCHEM</a:t>
                </a:r>
                <a:endParaRPr lang="fr-FR" sz="1400" b="1"/>
              </a:p>
            </xdr:txBody>
          </xdr:sp>
          <xdr:sp macro="" textlink="">
            <xdr:nvSpPr>
              <xdr:cNvPr id="576" name="Oval 65">
                <a:extLst>
                  <a:ext uri="{FF2B5EF4-FFF2-40B4-BE49-F238E27FC236}">
                    <a16:creationId xmlns:a16="http://schemas.microsoft.com/office/drawing/2014/main" id="{814804E6-2875-3C4B-6249-8F6B60C1AA9E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73" name="Freeform: Shape 62">
              <a:extLst>
                <a:ext uri="{FF2B5EF4-FFF2-40B4-BE49-F238E27FC236}">
                  <a16:creationId xmlns:a16="http://schemas.microsoft.com/office/drawing/2014/main" id="{AB8BDDB2-D035-80E9-F04D-E0D9D60DDAFC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39</xdr:col>
      <xdr:colOff>2948949</xdr:colOff>
      <xdr:row>35</xdr:row>
      <xdr:rowOff>118213</xdr:rowOff>
    </xdr:from>
    <xdr:to>
      <xdr:col>42</xdr:col>
      <xdr:colOff>498929</xdr:colOff>
      <xdr:row>38</xdr:row>
      <xdr:rowOff>408215</xdr:rowOff>
    </xdr:to>
    <xdr:grpSp>
      <xdr:nvGrpSpPr>
        <xdr:cNvPr id="592" name="Group 72">
          <a:extLst>
            <a:ext uri="{FF2B5EF4-FFF2-40B4-BE49-F238E27FC236}">
              <a16:creationId xmlns:a16="http://schemas.microsoft.com/office/drawing/2014/main" id="{EB2E34B1-6664-4A00-A933-901E239446D2}"/>
            </a:ext>
          </a:extLst>
        </xdr:cNvPr>
        <xdr:cNvGrpSpPr/>
      </xdr:nvGrpSpPr>
      <xdr:grpSpPr>
        <a:xfrm>
          <a:off x="59710893" y="14864324"/>
          <a:ext cx="6051925" cy="1665835"/>
          <a:chOff x="3143250" y="8186864"/>
          <a:chExt cx="1898242" cy="1614361"/>
        </a:xfrm>
      </xdr:grpSpPr>
      <xdr:grpSp>
        <xdr:nvGrpSpPr>
          <xdr:cNvPr id="593" name="Group 66">
            <a:extLst>
              <a:ext uri="{FF2B5EF4-FFF2-40B4-BE49-F238E27FC236}">
                <a16:creationId xmlns:a16="http://schemas.microsoft.com/office/drawing/2014/main" id="{9AE29AC1-AF66-AE04-F556-962B81512AD7}"/>
              </a:ext>
            </a:extLst>
          </xdr:cNvPr>
          <xdr:cNvGrpSpPr/>
        </xdr:nvGrpSpPr>
        <xdr:grpSpPr>
          <a:xfrm>
            <a:off x="3324225" y="8186864"/>
            <a:ext cx="1717267" cy="1414336"/>
            <a:chOff x="609600" y="7653464"/>
            <a:chExt cx="1717267" cy="1414336"/>
          </a:xfrm>
        </xdr:grpSpPr>
        <xdr:grpSp>
          <xdr:nvGrpSpPr>
            <xdr:cNvPr id="657" name="Group 67">
              <a:extLst>
                <a:ext uri="{FF2B5EF4-FFF2-40B4-BE49-F238E27FC236}">
                  <a16:creationId xmlns:a16="http://schemas.microsoft.com/office/drawing/2014/main" id="{1CAAA53E-3856-9047-EFBB-6AFA646FAFDF}"/>
                </a:ext>
              </a:extLst>
            </xdr:cNvPr>
            <xdr:cNvGrpSpPr/>
          </xdr:nvGrpSpPr>
          <xdr:grpSpPr>
            <a:xfrm>
              <a:off x="609600" y="7653464"/>
              <a:ext cx="1717267" cy="1414336"/>
              <a:chOff x="600075" y="7643939"/>
              <a:chExt cx="1717267" cy="1414336"/>
            </a:xfrm>
          </xdr:grpSpPr>
          <xdr:sp macro="" textlink="">
            <xdr:nvSpPr>
              <xdr:cNvPr id="659" name="Rectangle 658">
                <a:extLst>
                  <a:ext uri="{FF2B5EF4-FFF2-40B4-BE49-F238E27FC236}">
                    <a16:creationId xmlns:a16="http://schemas.microsoft.com/office/drawing/2014/main" id="{2381F524-0CDE-AB2D-49B8-990242CC5E11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60" name="Rectangle 659">
                <a:extLst>
                  <a:ext uri="{FF2B5EF4-FFF2-40B4-BE49-F238E27FC236}">
                    <a16:creationId xmlns:a16="http://schemas.microsoft.com/office/drawing/2014/main" id="{DE311479-1F85-DD27-3313-60ABEEEB75CE}"/>
                  </a:ext>
                </a:extLst>
              </xdr:cNvPr>
              <xdr:cNvSpPr/>
            </xdr:nvSpPr>
            <xdr:spPr>
              <a:xfrm>
                <a:off x="602842" y="764393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61" name="Oval 71">
                <a:extLst>
                  <a:ext uri="{FF2B5EF4-FFF2-40B4-BE49-F238E27FC236}">
                    <a16:creationId xmlns:a16="http://schemas.microsoft.com/office/drawing/2014/main" id="{EB411F4D-0945-4AFE-6C24-E12B17B41079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58" name="Freeform: Shape 68">
              <a:extLst>
                <a:ext uri="{FF2B5EF4-FFF2-40B4-BE49-F238E27FC236}">
                  <a16:creationId xmlns:a16="http://schemas.microsoft.com/office/drawing/2014/main" id="{714A6982-1FB7-2EB1-991E-F17F4627728F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594" name="Group 60">
            <a:extLst>
              <a:ext uri="{FF2B5EF4-FFF2-40B4-BE49-F238E27FC236}">
                <a16:creationId xmlns:a16="http://schemas.microsoft.com/office/drawing/2014/main" id="{26B3E57A-8FA7-B06A-D91D-E4B0A2F12651}"/>
              </a:ext>
            </a:extLst>
          </xdr:cNvPr>
          <xdr:cNvGrpSpPr/>
        </xdr:nvGrpSpPr>
        <xdr:grpSpPr>
          <a:xfrm>
            <a:off x="3143250" y="8391525"/>
            <a:ext cx="1714500" cy="1409700"/>
            <a:chOff x="600075" y="7658100"/>
            <a:chExt cx="1714500" cy="1409700"/>
          </a:xfrm>
        </xdr:grpSpPr>
        <xdr:grpSp>
          <xdr:nvGrpSpPr>
            <xdr:cNvPr id="595" name="Group 61">
              <a:extLst>
                <a:ext uri="{FF2B5EF4-FFF2-40B4-BE49-F238E27FC236}">
                  <a16:creationId xmlns:a16="http://schemas.microsoft.com/office/drawing/2014/main" id="{B5FA709F-F040-CAA3-5DA2-4BBF212F20B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597" name="Rectangle 596">
                <a:extLst>
                  <a:ext uri="{FF2B5EF4-FFF2-40B4-BE49-F238E27FC236}">
                    <a16:creationId xmlns:a16="http://schemas.microsoft.com/office/drawing/2014/main" id="{193F7D15-D9BC-B3D9-E9A3-1AB365C9EA7D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98" name="Rectangle 597">
                <a:extLst>
                  <a:ext uri="{FF2B5EF4-FFF2-40B4-BE49-F238E27FC236}">
                    <a16:creationId xmlns:a16="http://schemas.microsoft.com/office/drawing/2014/main" id="{10E6447D-2A33-5A41-37A1-263A8694904F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2800" b="1"/>
                  <a:t>HANK</a:t>
                </a:r>
                <a:endParaRPr lang="fr-FR" sz="1400" b="1"/>
              </a:p>
            </xdr:txBody>
          </xdr:sp>
          <xdr:sp macro="" textlink="">
            <xdr:nvSpPr>
              <xdr:cNvPr id="599" name="Oval 65">
                <a:extLst>
                  <a:ext uri="{FF2B5EF4-FFF2-40B4-BE49-F238E27FC236}">
                    <a16:creationId xmlns:a16="http://schemas.microsoft.com/office/drawing/2014/main" id="{27298F22-8C58-D7E6-DF1F-5D52E99D72FB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96" name="Freeform: Shape 62">
              <a:extLst>
                <a:ext uri="{FF2B5EF4-FFF2-40B4-BE49-F238E27FC236}">
                  <a16:creationId xmlns:a16="http://schemas.microsoft.com/office/drawing/2014/main" id="{0E3D8189-1107-5792-0012-5B07126A8AB4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40</xdr:col>
      <xdr:colOff>483465</xdr:colOff>
      <xdr:row>32</xdr:row>
      <xdr:rowOff>270079</xdr:rowOff>
    </xdr:from>
    <xdr:to>
      <xdr:col>42</xdr:col>
      <xdr:colOff>226786</xdr:colOff>
      <xdr:row>35</xdr:row>
      <xdr:rowOff>45356</xdr:rowOff>
    </xdr:to>
    <xdr:grpSp>
      <xdr:nvGrpSpPr>
        <xdr:cNvPr id="662" name="Group 449">
          <a:extLst>
            <a:ext uri="{FF2B5EF4-FFF2-40B4-BE49-F238E27FC236}">
              <a16:creationId xmlns:a16="http://schemas.microsoft.com/office/drawing/2014/main" id="{F874F2D9-1E53-4817-8DF5-41D25A9E7C4C}"/>
            </a:ext>
          </a:extLst>
        </xdr:cNvPr>
        <xdr:cNvGrpSpPr/>
      </xdr:nvGrpSpPr>
      <xdr:grpSpPr>
        <a:xfrm>
          <a:off x="60314576" y="13640357"/>
          <a:ext cx="5176099" cy="1151110"/>
          <a:chOff x="504825" y="31394400"/>
          <a:chExt cx="1743075" cy="1409700"/>
        </a:xfrm>
      </xdr:grpSpPr>
      <xdr:sp macro="" textlink="">
        <xdr:nvSpPr>
          <xdr:cNvPr id="663" name="Rectangle 662">
            <a:extLst>
              <a:ext uri="{FF2B5EF4-FFF2-40B4-BE49-F238E27FC236}">
                <a16:creationId xmlns:a16="http://schemas.microsoft.com/office/drawing/2014/main" id="{9F022FB2-278F-4A11-8EAE-BE2500097547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64" name="Freeform 43">
            <a:extLst>
              <a:ext uri="{FF2B5EF4-FFF2-40B4-BE49-F238E27FC236}">
                <a16:creationId xmlns:a16="http://schemas.microsoft.com/office/drawing/2014/main" id="{69341577-AFBA-7EFD-4448-37F752B33058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46</xdr:col>
      <xdr:colOff>48449</xdr:colOff>
      <xdr:row>33</xdr:row>
      <xdr:rowOff>158750</xdr:rowOff>
    </xdr:from>
    <xdr:to>
      <xdr:col>48</xdr:col>
      <xdr:colOff>680357</xdr:colOff>
      <xdr:row>35</xdr:row>
      <xdr:rowOff>317500</xdr:rowOff>
    </xdr:to>
    <xdr:grpSp>
      <xdr:nvGrpSpPr>
        <xdr:cNvPr id="665" name="Group 449">
          <a:extLst>
            <a:ext uri="{FF2B5EF4-FFF2-40B4-BE49-F238E27FC236}">
              <a16:creationId xmlns:a16="http://schemas.microsoft.com/office/drawing/2014/main" id="{E22923FC-C29F-477A-8EBD-D809A147B12F}"/>
            </a:ext>
          </a:extLst>
        </xdr:cNvPr>
        <xdr:cNvGrpSpPr/>
      </xdr:nvGrpSpPr>
      <xdr:grpSpPr>
        <a:xfrm>
          <a:off x="73884838" y="13987639"/>
          <a:ext cx="4371352" cy="1075972"/>
          <a:chOff x="504825" y="31394400"/>
          <a:chExt cx="1743075" cy="1409700"/>
        </a:xfrm>
      </xdr:grpSpPr>
      <xdr:sp macro="" textlink="">
        <xdr:nvSpPr>
          <xdr:cNvPr id="666" name="Rectangle 665">
            <a:extLst>
              <a:ext uri="{FF2B5EF4-FFF2-40B4-BE49-F238E27FC236}">
                <a16:creationId xmlns:a16="http://schemas.microsoft.com/office/drawing/2014/main" id="{10B4E215-D87B-6E63-0B85-E391663B2179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67" name="Freeform 43">
            <a:extLst>
              <a:ext uri="{FF2B5EF4-FFF2-40B4-BE49-F238E27FC236}">
                <a16:creationId xmlns:a16="http://schemas.microsoft.com/office/drawing/2014/main" id="{68E9B87C-03C1-75EA-53B9-3C06CF2962D6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51</xdr:col>
      <xdr:colOff>137101</xdr:colOff>
      <xdr:row>33</xdr:row>
      <xdr:rowOff>134695</xdr:rowOff>
    </xdr:from>
    <xdr:to>
      <xdr:col>53</xdr:col>
      <xdr:colOff>22678</xdr:colOff>
      <xdr:row>35</xdr:row>
      <xdr:rowOff>385536</xdr:rowOff>
    </xdr:to>
    <xdr:grpSp>
      <xdr:nvGrpSpPr>
        <xdr:cNvPr id="668" name="Group 449">
          <a:extLst>
            <a:ext uri="{FF2B5EF4-FFF2-40B4-BE49-F238E27FC236}">
              <a16:creationId xmlns:a16="http://schemas.microsoft.com/office/drawing/2014/main" id="{842566BD-11C8-4886-9220-BAAABE5B3F4A}"/>
            </a:ext>
          </a:extLst>
        </xdr:cNvPr>
        <xdr:cNvGrpSpPr/>
      </xdr:nvGrpSpPr>
      <xdr:grpSpPr>
        <a:xfrm>
          <a:off x="80217657" y="13963584"/>
          <a:ext cx="5071410" cy="1168063"/>
          <a:chOff x="504825" y="31394400"/>
          <a:chExt cx="1743075" cy="1409700"/>
        </a:xfrm>
      </xdr:grpSpPr>
      <xdr:sp macro="" textlink="">
        <xdr:nvSpPr>
          <xdr:cNvPr id="669" name="Rectangle 668">
            <a:extLst>
              <a:ext uri="{FF2B5EF4-FFF2-40B4-BE49-F238E27FC236}">
                <a16:creationId xmlns:a16="http://schemas.microsoft.com/office/drawing/2014/main" id="{9F46FA86-07F6-FE2F-CF16-89D2EC16A952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70" name="Freeform 43">
            <a:extLst>
              <a:ext uri="{FF2B5EF4-FFF2-40B4-BE49-F238E27FC236}">
                <a16:creationId xmlns:a16="http://schemas.microsoft.com/office/drawing/2014/main" id="{54AF401C-C6B0-7B33-8084-DA999F31AEDA}"/>
              </a:ext>
            </a:extLst>
          </xdr:cNvPr>
          <xdr:cNvSpPr>
            <a:spLocks/>
          </xdr:cNvSpPr>
        </xdr:nvSpPr>
        <xdr:spPr bwMode="auto">
          <a:xfrm>
            <a:off x="630882" y="31816191"/>
            <a:ext cx="1453818" cy="571589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r>
              <a:rPr lang="en-GB" altLang="en-US" sz="2000" b="1"/>
              <a:t>Kanban prod</a:t>
            </a:r>
          </a:p>
        </xdr:txBody>
      </xdr:sp>
    </xdr:grpSp>
    <xdr:clientData/>
  </xdr:twoCellAnchor>
  <xdr:twoCellAnchor>
    <xdr:from>
      <xdr:col>58</xdr:col>
      <xdr:colOff>90715</xdr:colOff>
      <xdr:row>36</xdr:row>
      <xdr:rowOff>349798</xdr:rowOff>
    </xdr:from>
    <xdr:to>
      <xdr:col>59</xdr:col>
      <xdr:colOff>2109108</xdr:colOff>
      <xdr:row>38</xdr:row>
      <xdr:rowOff>181430</xdr:rowOff>
    </xdr:to>
    <xdr:grpSp>
      <xdr:nvGrpSpPr>
        <xdr:cNvPr id="671" name="Group 665">
          <a:extLst>
            <a:ext uri="{FF2B5EF4-FFF2-40B4-BE49-F238E27FC236}">
              <a16:creationId xmlns:a16="http://schemas.microsoft.com/office/drawing/2014/main" id="{26E39785-E0F2-4FC7-B1F0-E3E3EBF43693}"/>
            </a:ext>
          </a:extLst>
        </xdr:cNvPr>
        <xdr:cNvGrpSpPr/>
      </xdr:nvGrpSpPr>
      <xdr:grpSpPr>
        <a:xfrm>
          <a:off x="94211826" y="15554520"/>
          <a:ext cx="3253115" cy="748854"/>
          <a:chOff x="885825" y="2581275"/>
          <a:chExt cx="1123950" cy="323850"/>
        </a:xfrm>
      </xdr:grpSpPr>
      <xdr:sp macro="" textlink="">
        <xdr:nvSpPr>
          <xdr:cNvPr id="672" name="Arrow: Right 666">
            <a:extLst>
              <a:ext uri="{FF2B5EF4-FFF2-40B4-BE49-F238E27FC236}">
                <a16:creationId xmlns:a16="http://schemas.microsoft.com/office/drawing/2014/main" id="{2A859C7B-5573-FD27-00BD-2C64130A191A}"/>
              </a:ext>
            </a:extLst>
          </xdr:cNvPr>
          <xdr:cNvSpPr/>
        </xdr:nvSpPr>
        <xdr:spPr>
          <a:xfrm>
            <a:off x="914400" y="2581275"/>
            <a:ext cx="1066800" cy="323850"/>
          </a:xfrm>
          <a:prstGeom prst="rightArrow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73" name="Group 667">
            <a:extLst>
              <a:ext uri="{FF2B5EF4-FFF2-40B4-BE49-F238E27FC236}">
                <a16:creationId xmlns:a16="http://schemas.microsoft.com/office/drawing/2014/main" id="{869CC7FE-03E0-4DD9-66A1-68557F753F94}"/>
              </a:ext>
            </a:extLst>
          </xdr:cNvPr>
          <xdr:cNvGrpSpPr/>
        </xdr:nvGrpSpPr>
        <xdr:grpSpPr>
          <a:xfrm>
            <a:off x="885825" y="2609850"/>
            <a:ext cx="1123950" cy="276225"/>
            <a:chOff x="885825" y="2609850"/>
            <a:chExt cx="1123950" cy="276225"/>
          </a:xfrm>
        </xdr:grpSpPr>
        <xdr:sp macro="" textlink="">
          <xdr:nvSpPr>
            <xdr:cNvPr id="674" name="Rectangle 673">
              <a:extLst>
                <a:ext uri="{FF2B5EF4-FFF2-40B4-BE49-F238E27FC236}">
                  <a16:creationId xmlns:a16="http://schemas.microsoft.com/office/drawing/2014/main" id="{52E26017-E690-B76E-32E6-B078B08FE792}"/>
                </a:ext>
              </a:extLst>
            </xdr:cNvPr>
            <xdr:cNvSpPr/>
          </xdr:nvSpPr>
          <xdr:spPr>
            <a:xfrm>
              <a:off x="1190625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75" name="Rectangle 674">
              <a:extLst>
                <a:ext uri="{FF2B5EF4-FFF2-40B4-BE49-F238E27FC236}">
                  <a16:creationId xmlns:a16="http://schemas.microsoft.com/office/drawing/2014/main" id="{0AE0CD11-3BA1-E6EB-DE84-D339EC75A5FD}"/>
                </a:ext>
              </a:extLst>
            </xdr:cNvPr>
            <xdr:cNvSpPr/>
          </xdr:nvSpPr>
          <xdr:spPr>
            <a:xfrm>
              <a:off x="8858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76" name="Rectangle 675">
              <a:extLst>
                <a:ext uri="{FF2B5EF4-FFF2-40B4-BE49-F238E27FC236}">
                  <a16:creationId xmlns:a16="http://schemas.microsoft.com/office/drawing/2014/main" id="{FCB3963B-E919-919B-C00E-E914869B9A28}"/>
                </a:ext>
              </a:extLst>
            </xdr:cNvPr>
            <xdr:cNvSpPr/>
          </xdr:nvSpPr>
          <xdr:spPr>
            <a:xfrm>
              <a:off x="10382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77" name="Rectangle 676">
              <a:extLst>
                <a:ext uri="{FF2B5EF4-FFF2-40B4-BE49-F238E27FC236}">
                  <a16:creationId xmlns:a16="http://schemas.microsoft.com/office/drawing/2014/main" id="{119B34E3-7B9F-DBF2-F530-E571F7729A19}"/>
                </a:ext>
              </a:extLst>
            </xdr:cNvPr>
            <xdr:cNvSpPr/>
          </xdr:nvSpPr>
          <xdr:spPr>
            <a:xfrm>
              <a:off x="132397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78" name="Rectangle 677">
              <a:extLst>
                <a:ext uri="{FF2B5EF4-FFF2-40B4-BE49-F238E27FC236}">
                  <a16:creationId xmlns:a16="http://schemas.microsoft.com/office/drawing/2014/main" id="{E27E8398-4FE7-2975-8F33-2A60F7B67649}"/>
                </a:ext>
              </a:extLst>
            </xdr:cNvPr>
            <xdr:cNvSpPr/>
          </xdr:nvSpPr>
          <xdr:spPr>
            <a:xfrm>
              <a:off x="148590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84" name="Rectangle 683">
              <a:extLst>
                <a:ext uri="{FF2B5EF4-FFF2-40B4-BE49-F238E27FC236}">
                  <a16:creationId xmlns:a16="http://schemas.microsoft.com/office/drawing/2014/main" id="{969C8C37-36B4-0B68-E872-75FA08784E1A}"/>
                </a:ext>
              </a:extLst>
            </xdr:cNvPr>
            <xdr:cNvSpPr/>
          </xdr:nvSpPr>
          <xdr:spPr>
            <a:xfrm>
              <a:off x="165735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85" name="Isosceles Triangle 674">
              <a:extLst>
                <a:ext uri="{FF2B5EF4-FFF2-40B4-BE49-F238E27FC236}">
                  <a16:creationId xmlns:a16="http://schemas.microsoft.com/office/drawing/2014/main" id="{CA0DB38F-50F3-2E83-1D35-B51E3A8D564F}"/>
                </a:ext>
              </a:extLst>
            </xdr:cNvPr>
            <xdr:cNvSpPr/>
          </xdr:nvSpPr>
          <xdr:spPr>
            <a:xfrm rot="5400000">
              <a:off x="1776412" y="2652713"/>
              <a:ext cx="276225" cy="190500"/>
            </a:xfrm>
            <a:prstGeom prst="triangle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38</xdr:col>
      <xdr:colOff>1065890</xdr:colOff>
      <xdr:row>34</xdr:row>
      <xdr:rowOff>380035</xdr:rowOff>
    </xdr:from>
    <xdr:to>
      <xdr:col>39</xdr:col>
      <xdr:colOff>490498</xdr:colOff>
      <xdr:row>36</xdr:row>
      <xdr:rowOff>130571</xdr:rowOff>
    </xdr:to>
    <xdr:grpSp>
      <xdr:nvGrpSpPr>
        <xdr:cNvPr id="686" name="Group 206">
          <a:extLst>
            <a:ext uri="{FF2B5EF4-FFF2-40B4-BE49-F238E27FC236}">
              <a16:creationId xmlns:a16="http://schemas.microsoft.com/office/drawing/2014/main" id="{0444FE4D-A3AD-4702-989E-E3A6C95B9A71}"/>
            </a:ext>
          </a:extLst>
        </xdr:cNvPr>
        <xdr:cNvGrpSpPr/>
      </xdr:nvGrpSpPr>
      <xdr:grpSpPr>
        <a:xfrm>
          <a:off x="56522557" y="14667535"/>
          <a:ext cx="729885" cy="667758"/>
          <a:chOff x="266700" y="14344650"/>
          <a:chExt cx="1743075" cy="1314450"/>
        </a:xfrm>
      </xdr:grpSpPr>
      <xdr:sp macro="" textlink="">
        <xdr:nvSpPr>
          <xdr:cNvPr id="687" name="Rectangle 686">
            <a:extLst>
              <a:ext uri="{FF2B5EF4-FFF2-40B4-BE49-F238E27FC236}">
                <a16:creationId xmlns:a16="http://schemas.microsoft.com/office/drawing/2014/main" id="{B20C01BA-6D64-28C8-CE44-715801C88AB3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88" name="Arc 26">
            <a:extLst>
              <a:ext uri="{FF2B5EF4-FFF2-40B4-BE49-F238E27FC236}">
                <a16:creationId xmlns:a16="http://schemas.microsoft.com/office/drawing/2014/main" id="{403929ED-EB44-F1B4-813B-D60CAD3E08D2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44</xdr:col>
      <xdr:colOff>243795</xdr:colOff>
      <xdr:row>34</xdr:row>
      <xdr:rowOff>265700</xdr:rowOff>
    </xdr:from>
    <xdr:to>
      <xdr:col>44</xdr:col>
      <xdr:colOff>796661</xdr:colOff>
      <xdr:row>36</xdr:row>
      <xdr:rowOff>136243</xdr:rowOff>
    </xdr:to>
    <xdr:grpSp>
      <xdr:nvGrpSpPr>
        <xdr:cNvPr id="689" name="Group 206">
          <a:extLst>
            <a:ext uri="{FF2B5EF4-FFF2-40B4-BE49-F238E27FC236}">
              <a16:creationId xmlns:a16="http://schemas.microsoft.com/office/drawing/2014/main" id="{592A3B93-CBE8-40A2-8BDD-D4E787470B6F}"/>
            </a:ext>
          </a:extLst>
        </xdr:cNvPr>
        <xdr:cNvGrpSpPr/>
      </xdr:nvGrpSpPr>
      <xdr:grpSpPr>
        <a:xfrm>
          <a:off x="69529351" y="14553200"/>
          <a:ext cx="552866" cy="787765"/>
          <a:chOff x="266700" y="14344650"/>
          <a:chExt cx="1743075" cy="1314450"/>
        </a:xfrm>
      </xdr:grpSpPr>
      <xdr:sp macro="" textlink="">
        <xdr:nvSpPr>
          <xdr:cNvPr id="690" name="Rectangle 689">
            <a:extLst>
              <a:ext uri="{FF2B5EF4-FFF2-40B4-BE49-F238E27FC236}">
                <a16:creationId xmlns:a16="http://schemas.microsoft.com/office/drawing/2014/main" id="{C7C31CE1-3530-B177-800C-047B873BE885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1" name="Arc 26">
            <a:extLst>
              <a:ext uri="{FF2B5EF4-FFF2-40B4-BE49-F238E27FC236}">
                <a16:creationId xmlns:a16="http://schemas.microsoft.com/office/drawing/2014/main" id="{6B165659-85B5-6D3D-3EE7-C3FED784082D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49</xdr:col>
      <xdr:colOff>544287</xdr:colOff>
      <xdr:row>34</xdr:row>
      <xdr:rowOff>255306</xdr:rowOff>
    </xdr:from>
    <xdr:to>
      <xdr:col>50</xdr:col>
      <xdr:colOff>558537</xdr:colOff>
      <xdr:row>36</xdr:row>
      <xdr:rowOff>309166</xdr:rowOff>
    </xdr:to>
    <xdr:grpSp>
      <xdr:nvGrpSpPr>
        <xdr:cNvPr id="692" name="Group 206">
          <a:extLst>
            <a:ext uri="{FF2B5EF4-FFF2-40B4-BE49-F238E27FC236}">
              <a16:creationId xmlns:a16="http://schemas.microsoft.com/office/drawing/2014/main" id="{9EA97212-0638-4E70-90C6-575BB445F1AA}"/>
            </a:ext>
          </a:extLst>
        </xdr:cNvPr>
        <xdr:cNvGrpSpPr/>
      </xdr:nvGrpSpPr>
      <xdr:grpSpPr>
        <a:xfrm>
          <a:off x="78790398" y="14542806"/>
          <a:ext cx="1178417" cy="971082"/>
          <a:chOff x="266700" y="14344650"/>
          <a:chExt cx="1743075" cy="1314450"/>
        </a:xfrm>
      </xdr:grpSpPr>
      <xdr:sp macro="" textlink="">
        <xdr:nvSpPr>
          <xdr:cNvPr id="693" name="Rectangle 692">
            <a:extLst>
              <a:ext uri="{FF2B5EF4-FFF2-40B4-BE49-F238E27FC236}">
                <a16:creationId xmlns:a16="http://schemas.microsoft.com/office/drawing/2014/main" id="{3691C000-2C9F-4B46-BCB2-2D16EE93562D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4" name="Arc 26">
            <a:extLst>
              <a:ext uri="{FF2B5EF4-FFF2-40B4-BE49-F238E27FC236}">
                <a16:creationId xmlns:a16="http://schemas.microsoft.com/office/drawing/2014/main" id="{A26C3EB1-ADA7-597A-86CA-4B1B5C8AAF6E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55</xdr:col>
      <xdr:colOff>297655</xdr:colOff>
      <xdr:row>34</xdr:row>
      <xdr:rowOff>168372</xdr:rowOff>
    </xdr:from>
    <xdr:to>
      <xdr:col>55</xdr:col>
      <xdr:colOff>905329</xdr:colOff>
      <xdr:row>35</xdr:row>
      <xdr:rowOff>374368</xdr:rowOff>
    </xdr:to>
    <xdr:grpSp>
      <xdr:nvGrpSpPr>
        <xdr:cNvPr id="695" name="Group 206">
          <a:extLst>
            <a:ext uri="{FF2B5EF4-FFF2-40B4-BE49-F238E27FC236}">
              <a16:creationId xmlns:a16="http://schemas.microsoft.com/office/drawing/2014/main" id="{033DD69D-7B52-469F-98D5-5D7EEF92C33F}"/>
            </a:ext>
          </a:extLst>
        </xdr:cNvPr>
        <xdr:cNvGrpSpPr/>
      </xdr:nvGrpSpPr>
      <xdr:grpSpPr>
        <a:xfrm>
          <a:off x="87327933" y="14455872"/>
          <a:ext cx="607674" cy="664607"/>
          <a:chOff x="266700" y="14344650"/>
          <a:chExt cx="1743075" cy="1314450"/>
        </a:xfrm>
      </xdr:grpSpPr>
      <xdr:sp macro="" textlink="">
        <xdr:nvSpPr>
          <xdr:cNvPr id="696" name="Rectangle 695">
            <a:extLst>
              <a:ext uri="{FF2B5EF4-FFF2-40B4-BE49-F238E27FC236}">
                <a16:creationId xmlns:a16="http://schemas.microsoft.com/office/drawing/2014/main" id="{6565E113-FD33-16B1-D273-D890937FFCB0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7" name="Arc 26">
            <a:extLst>
              <a:ext uri="{FF2B5EF4-FFF2-40B4-BE49-F238E27FC236}">
                <a16:creationId xmlns:a16="http://schemas.microsoft.com/office/drawing/2014/main" id="{B9F676AA-9B4F-B4FA-541C-3C094B1B46C3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38</xdr:col>
      <xdr:colOff>816428</xdr:colOff>
      <xdr:row>38</xdr:row>
      <xdr:rowOff>269477</xdr:rowOff>
    </xdr:from>
    <xdr:to>
      <xdr:col>39</xdr:col>
      <xdr:colOff>1111250</xdr:colOff>
      <xdr:row>41</xdr:row>
      <xdr:rowOff>340178</xdr:rowOff>
    </xdr:to>
    <xdr:grpSp>
      <xdr:nvGrpSpPr>
        <xdr:cNvPr id="698" name="Group 89">
          <a:extLst>
            <a:ext uri="{FF2B5EF4-FFF2-40B4-BE49-F238E27FC236}">
              <a16:creationId xmlns:a16="http://schemas.microsoft.com/office/drawing/2014/main" id="{13B372B2-FC0B-4B70-A5A8-91ADF8B6E0A3}"/>
            </a:ext>
          </a:extLst>
        </xdr:cNvPr>
        <xdr:cNvGrpSpPr/>
      </xdr:nvGrpSpPr>
      <xdr:grpSpPr>
        <a:xfrm>
          <a:off x="56273095" y="16391421"/>
          <a:ext cx="1600099" cy="1446535"/>
          <a:chOff x="571500" y="40290750"/>
          <a:chExt cx="1743075" cy="1409700"/>
        </a:xfrm>
      </xdr:grpSpPr>
      <xdr:sp macro="" textlink="">
        <xdr:nvSpPr>
          <xdr:cNvPr id="699" name="Rectangle 698">
            <a:extLst>
              <a:ext uri="{FF2B5EF4-FFF2-40B4-BE49-F238E27FC236}">
                <a16:creationId xmlns:a16="http://schemas.microsoft.com/office/drawing/2014/main" id="{8DC1EDBF-2B99-195B-641F-98342C17CC4D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700" name="Straight Connector 92">
            <a:extLst>
              <a:ext uri="{FF2B5EF4-FFF2-40B4-BE49-F238E27FC236}">
                <a16:creationId xmlns:a16="http://schemas.microsoft.com/office/drawing/2014/main" id="{FB481670-31B0-4DD9-C2B9-EA110CFF59DA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1" name="Isosceles Triangle 103">
            <a:extLst>
              <a:ext uri="{FF2B5EF4-FFF2-40B4-BE49-F238E27FC236}">
                <a16:creationId xmlns:a16="http://schemas.microsoft.com/office/drawing/2014/main" id="{08FA066F-FF43-B948-0EC3-9DBAED3446F9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02" name="Rectangle 701">
            <a:extLst>
              <a:ext uri="{FF2B5EF4-FFF2-40B4-BE49-F238E27FC236}">
                <a16:creationId xmlns:a16="http://schemas.microsoft.com/office/drawing/2014/main" id="{8B670F11-C1C7-11CC-81B0-DDA236A433CE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38</xdr:col>
      <xdr:colOff>0</xdr:colOff>
      <xdr:row>36</xdr:row>
      <xdr:rowOff>11508</xdr:rowOff>
    </xdr:from>
    <xdr:to>
      <xdr:col>38</xdr:col>
      <xdr:colOff>1256194</xdr:colOff>
      <xdr:row>38</xdr:row>
      <xdr:rowOff>227413</xdr:rowOff>
    </xdr:to>
    <xdr:grpSp>
      <xdr:nvGrpSpPr>
        <xdr:cNvPr id="703" name="Group 224">
          <a:extLst>
            <a:ext uri="{FF2B5EF4-FFF2-40B4-BE49-F238E27FC236}">
              <a16:creationId xmlns:a16="http://schemas.microsoft.com/office/drawing/2014/main" id="{6BF070EC-7F1F-437B-8E9B-25F84F1FDD7D}"/>
            </a:ext>
          </a:extLst>
        </xdr:cNvPr>
        <xdr:cNvGrpSpPr/>
      </xdr:nvGrpSpPr>
      <xdr:grpSpPr>
        <a:xfrm>
          <a:off x="55456667" y="15216230"/>
          <a:ext cx="1256194" cy="1133127"/>
          <a:chOff x="3733800" y="16354425"/>
          <a:chExt cx="1743075" cy="1409700"/>
        </a:xfrm>
      </xdr:grpSpPr>
      <xdr:sp macro="" textlink="">
        <xdr:nvSpPr>
          <xdr:cNvPr id="750" name="Rectangle 749">
            <a:extLst>
              <a:ext uri="{FF2B5EF4-FFF2-40B4-BE49-F238E27FC236}">
                <a16:creationId xmlns:a16="http://schemas.microsoft.com/office/drawing/2014/main" id="{3ACEB8C4-E142-C809-717B-DE5E7B4D808C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752" name="Group 212">
            <a:extLst>
              <a:ext uri="{FF2B5EF4-FFF2-40B4-BE49-F238E27FC236}">
                <a16:creationId xmlns:a16="http://schemas.microsoft.com/office/drawing/2014/main" id="{09C8C73D-F4CA-BDEF-0F49-51AFB7CCE255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753" name="Line 11">
              <a:extLst>
                <a:ext uri="{FF2B5EF4-FFF2-40B4-BE49-F238E27FC236}">
                  <a16:creationId xmlns:a16="http://schemas.microsoft.com/office/drawing/2014/main" id="{7CD61A13-6FA8-3F1B-0852-C3D9CE8D7DA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55" name="Line 12">
              <a:extLst>
                <a:ext uri="{FF2B5EF4-FFF2-40B4-BE49-F238E27FC236}">
                  <a16:creationId xmlns:a16="http://schemas.microsoft.com/office/drawing/2014/main" id="{B56E5243-91D8-9B12-22A0-0765D13BC188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56" name="Line 13">
              <a:extLst>
                <a:ext uri="{FF2B5EF4-FFF2-40B4-BE49-F238E27FC236}">
                  <a16:creationId xmlns:a16="http://schemas.microsoft.com/office/drawing/2014/main" id="{FB76C5A7-B3DF-B7A6-DEBD-7529BF28CCA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61" name="Line 14">
              <a:extLst>
                <a:ext uri="{FF2B5EF4-FFF2-40B4-BE49-F238E27FC236}">
                  <a16:creationId xmlns:a16="http://schemas.microsoft.com/office/drawing/2014/main" id="{ED1FFECA-4901-BCA0-48DC-7A1E6997246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62" name="Line 15">
              <a:extLst>
                <a:ext uri="{FF2B5EF4-FFF2-40B4-BE49-F238E27FC236}">
                  <a16:creationId xmlns:a16="http://schemas.microsoft.com/office/drawing/2014/main" id="{D0FA796A-E153-82A5-0AC1-E2D36A1B030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44</xdr:col>
      <xdr:colOff>419553</xdr:colOff>
      <xdr:row>38</xdr:row>
      <xdr:rowOff>243964</xdr:rowOff>
    </xdr:from>
    <xdr:to>
      <xdr:col>44</xdr:col>
      <xdr:colOff>1330301</xdr:colOff>
      <xdr:row>40</xdr:row>
      <xdr:rowOff>170434</xdr:rowOff>
    </xdr:to>
    <xdr:grpSp>
      <xdr:nvGrpSpPr>
        <xdr:cNvPr id="764" name="Group 89">
          <a:extLst>
            <a:ext uri="{FF2B5EF4-FFF2-40B4-BE49-F238E27FC236}">
              <a16:creationId xmlns:a16="http://schemas.microsoft.com/office/drawing/2014/main" id="{FAFFC091-FBCF-4919-B077-5828C9F18204}"/>
            </a:ext>
          </a:extLst>
        </xdr:cNvPr>
        <xdr:cNvGrpSpPr/>
      </xdr:nvGrpSpPr>
      <xdr:grpSpPr>
        <a:xfrm>
          <a:off x="69705109" y="16365908"/>
          <a:ext cx="910748" cy="843693"/>
          <a:chOff x="571500" y="40290750"/>
          <a:chExt cx="1743075" cy="1409700"/>
        </a:xfrm>
      </xdr:grpSpPr>
      <xdr:sp macro="" textlink="">
        <xdr:nvSpPr>
          <xdr:cNvPr id="765" name="Rectangle 764">
            <a:extLst>
              <a:ext uri="{FF2B5EF4-FFF2-40B4-BE49-F238E27FC236}">
                <a16:creationId xmlns:a16="http://schemas.microsoft.com/office/drawing/2014/main" id="{A90D74A0-87DF-7475-6EA7-F2E5DE2FA022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775" name="Straight Connector 92">
            <a:extLst>
              <a:ext uri="{FF2B5EF4-FFF2-40B4-BE49-F238E27FC236}">
                <a16:creationId xmlns:a16="http://schemas.microsoft.com/office/drawing/2014/main" id="{03D95613-5061-B4C8-435B-1ABFC4F9CC8B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3" name="Isosceles Triangle 103">
            <a:extLst>
              <a:ext uri="{FF2B5EF4-FFF2-40B4-BE49-F238E27FC236}">
                <a16:creationId xmlns:a16="http://schemas.microsoft.com/office/drawing/2014/main" id="{EE3D7C4E-98CE-E6FF-0697-F1EE10868698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84" name="Rectangle 783">
            <a:extLst>
              <a:ext uri="{FF2B5EF4-FFF2-40B4-BE49-F238E27FC236}">
                <a16:creationId xmlns:a16="http://schemas.microsoft.com/office/drawing/2014/main" id="{96E3D1B3-D5FF-1583-8118-C0F7F377FC27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42</xdr:col>
      <xdr:colOff>873126</xdr:colOff>
      <xdr:row>35</xdr:row>
      <xdr:rowOff>212782</xdr:rowOff>
    </xdr:from>
    <xdr:to>
      <xdr:col>44</xdr:col>
      <xdr:colOff>368895</xdr:colOff>
      <xdr:row>37</xdr:row>
      <xdr:rowOff>428686</xdr:rowOff>
    </xdr:to>
    <xdr:grpSp>
      <xdr:nvGrpSpPr>
        <xdr:cNvPr id="785" name="Group 224">
          <a:extLst>
            <a:ext uri="{FF2B5EF4-FFF2-40B4-BE49-F238E27FC236}">
              <a16:creationId xmlns:a16="http://schemas.microsoft.com/office/drawing/2014/main" id="{6CCEE520-CDD3-49F4-8FFD-7AF5E647E093}"/>
            </a:ext>
          </a:extLst>
        </xdr:cNvPr>
        <xdr:cNvGrpSpPr/>
      </xdr:nvGrpSpPr>
      <xdr:grpSpPr>
        <a:xfrm>
          <a:off x="66137015" y="14958893"/>
          <a:ext cx="3517436" cy="1133126"/>
          <a:chOff x="3733800" y="16354425"/>
          <a:chExt cx="1743075" cy="1409700"/>
        </a:xfrm>
      </xdr:grpSpPr>
      <xdr:sp macro="" textlink="">
        <xdr:nvSpPr>
          <xdr:cNvPr id="786" name="Rectangle 785">
            <a:extLst>
              <a:ext uri="{FF2B5EF4-FFF2-40B4-BE49-F238E27FC236}">
                <a16:creationId xmlns:a16="http://schemas.microsoft.com/office/drawing/2014/main" id="{5079F326-961C-5BA4-5ABF-EFCEDFCC4724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787" name="Group 212">
            <a:extLst>
              <a:ext uri="{FF2B5EF4-FFF2-40B4-BE49-F238E27FC236}">
                <a16:creationId xmlns:a16="http://schemas.microsoft.com/office/drawing/2014/main" id="{5A50168A-7FCF-8067-976D-F9FE1DC404F5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788" name="Line 11">
              <a:extLst>
                <a:ext uri="{FF2B5EF4-FFF2-40B4-BE49-F238E27FC236}">
                  <a16:creationId xmlns:a16="http://schemas.microsoft.com/office/drawing/2014/main" id="{ACA18701-B4A8-FE64-3D0E-314040A1C5C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89" name="Line 12">
              <a:extLst>
                <a:ext uri="{FF2B5EF4-FFF2-40B4-BE49-F238E27FC236}">
                  <a16:creationId xmlns:a16="http://schemas.microsoft.com/office/drawing/2014/main" id="{BBBC4F5F-1782-E761-7595-33401104B204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90" name="Line 13">
              <a:extLst>
                <a:ext uri="{FF2B5EF4-FFF2-40B4-BE49-F238E27FC236}">
                  <a16:creationId xmlns:a16="http://schemas.microsoft.com/office/drawing/2014/main" id="{DB298CBA-A664-C4A4-DBF1-450CFD24927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791" name="Line 14">
              <a:extLst>
                <a:ext uri="{FF2B5EF4-FFF2-40B4-BE49-F238E27FC236}">
                  <a16:creationId xmlns:a16="http://schemas.microsoft.com/office/drawing/2014/main" id="{8B8A2D50-BACD-0EAE-8E7C-A6EB802C188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09" name="Line 15">
              <a:extLst>
                <a:ext uri="{FF2B5EF4-FFF2-40B4-BE49-F238E27FC236}">
                  <a16:creationId xmlns:a16="http://schemas.microsoft.com/office/drawing/2014/main" id="{BA2FF655-6315-E7D9-5498-E91751CF7AE1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48</xdr:col>
      <xdr:colOff>841943</xdr:colOff>
      <xdr:row>36</xdr:row>
      <xdr:rowOff>173094</xdr:rowOff>
    </xdr:from>
    <xdr:to>
      <xdr:col>50</xdr:col>
      <xdr:colOff>278182</xdr:colOff>
      <xdr:row>38</xdr:row>
      <xdr:rowOff>352146</xdr:rowOff>
    </xdr:to>
    <xdr:grpSp>
      <xdr:nvGrpSpPr>
        <xdr:cNvPr id="810" name="Group 224">
          <a:extLst>
            <a:ext uri="{FF2B5EF4-FFF2-40B4-BE49-F238E27FC236}">
              <a16:creationId xmlns:a16="http://schemas.microsoft.com/office/drawing/2014/main" id="{4C70FF0D-9670-4400-A5F1-B6CB39C17FF1}"/>
            </a:ext>
          </a:extLst>
        </xdr:cNvPr>
        <xdr:cNvGrpSpPr/>
      </xdr:nvGrpSpPr>
      <xdr:grpSpPr>
        <a:xfrm>
          <a:off x="78259026" y="15377816"/>
          <a:ext cx="1429434" cy="1096274"/>
          <a:chOff x="3733800" y="16354425"/>
          <a:chExt cx="1743075" cy="1409700"/>
        </a:xfrm>
      </xdr:grpSpPr>
      <xdr:sp macro="" textlink="">
        <xdr:nvSpPr>
          <xdr:cNvPr id="811" name="Rectangle 810">
            <a:extLst>
              <a:ext uri="{FF2B5EF4-FFF2-40B4-BE49-F238E27FC236}">
                <a16:creationId xmlns:a16="http://schemas.microsoft.com/office/drawing/2014/main" id="{78759F79-D777-F718-72CC-10F00A51C659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12" name="Group 212">
            <a:extLst>
              <a:ext uri="{FF2B5EF4-FFF2-40B4-BE49-F238E27FC236}">
                <a16:creationId xmlns:a16="http://schemas.microsoft.com/office/drawing/2014/main" id="{A99D376B-47CE-EE3F-CCC6-286733B052D5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891" name="Line 11">
              <a:extLst>
                <a:ext uri="{FF2B5EF4-FFF2-40B4-BE49-F238E27FC236}">
                  <a16:creationId xmlns:a16="http://schemas.microsoft.com/office/drawing/2014/main" id="{D3AD1144-7DB6-FF5E-E33C-4ECDCEC4654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92" name="Line 12">
              <a:extLst>
                <a:ext uri="{FF2B5EF4-FFF2-40B4-BE49-F238E27FC236}">
                  <a16:creationId xmlns:a16="http://schemas.microsoft.com/office/drawing/2014/main" id="{6098A527-64C1-844C-1AE0-A912303D2CA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93" name="Line 13">
              <a:extLst>
                <a:ext uri="{FF2B5EF4-FFF2-40B4-BE49-F238E27FC236}">
                  <a16:creationId xmlns:a16="http://schemas.microsoft.com/office/drawing/2014/main" id="{C67CD74D-589A-AEAD-71FC-A337C34D09A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94" name="Line 14">
              <a:extLst>
                <a:ext uri="{FF2B5EF4-FFF2-40B4-BE49-F238E27FC236}">
                  <a16:creationId xmlns:a16="http://schemas.microsoft.com/office/drawing/2014/main" id="{B7F27D06-31F7-503D-B8CC-06CCE6BDC55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895" name="Line 15">
              <a:extLst>
                <a:ext uri="{FF2B5EF4-FFF2-40B4-BE49-F238E27FC236}">
                  <a16:creationId xmlns:a16="http://schemas.microsoft.com/office/drawing/2014/main" id="{4B119D4C-17F7-B4D6-17D8-88801174F68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54</xdr:col>
      <xdr:colOff>358412</xdr:colOff>
      <xdr:row>38</xdr:row>
      <xdr:rowOff>110729</xdr:rowOff>
    </xdr:from>
    <xdr:to>
      <xdr:col>55</xdr:col>
      <xdr:colOff>793749</xdr:colOff>
      <xdr:row>41</xdr:row>
      <xdr:rowOff>22678</xdr:rowOff>
    </xdr:to>
    <xdr:grpSp>
      <xdr:nvGrpSpPr>
        <xdr:cNvPr id="896" name="Group 89">
          <a:extLst>
            <a:ext uri="{FF2B5EF4-FFF2-40B4-BE49-F238E27FC236}">
              <a16:creationId xmlns:a16="http://schemas.microsoft.com/office/drawing/2014/main" id="{0A29957D-405A-4E66-B749-6116C3B1EAD9}"/>
            </a:ext>
          </a:extLst>
        </xdr:cNvPr>
        <xdr:cNvGrpSpPr/>
      </xdr:nvGrpSpPr>
      <xdr:grpSpPr>
        <a:xfrm>
          <a:off x="86506745" y="16232673"/>
          <a:ext cx="1317282" cy="1287783"/>
          <a:chOff x="571500" y="40290750"/>
          <a:chExt cx="1743075" cy="1409700"/>
        </a:xfrm>
      </xdr:grpSpPr>
      <xdr:sp macro="" textlink="">
        <xdr:nvSpPr>
          <xdr:cNvPr id="897" name="Rectangle 896">
            <a:extLst>
              <a:ext uri="{FF2B5EF4-FFF2-40B4-BE49-F238E27FC236}">
                <a16:creationId xmlns:a16="http://schemas.microsoft.com/office/drawing/2014/main" id="{4BB21AC5-4623-8AA3-259A-0ED3EC92317A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0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898" name="Straight Connector 92">
            <a:extLst>
              <a:ext uri="{FF2B5EF4-FFF2-40B4-BE49-F238E27FC236}">
                <a16:creationId xmlns:a16="http://schemas.microsoft.com/office/drawing/2014/main" id="{246AD2EF-6213-1B38-A65A-3476DCDB2D0B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9" name="Isosceles Triangle 103">
            <a:extLst>
              <a:ext uri="{FF2B5EF4-FFF2-40B4-BE49-F238E27FC236}">
                <a16:creationId xmlns:a16="http://schemas.microsoft.com/office/drawing/2014/main" id="{17688E9B-DB41-5D42-1E74-7FD387A189A9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00" name="Rectangle 899">
            <a:extLst>
              <a:ext uri="{FF2B5EF4-FFF2-40B4-BE49-F238E27FC236}">
                <a16:creationId xmlns:a16="http://schemas.microsoft.com/office/drawing/2014/main" id="{0F27E3C7-3298-52D1-F568-69A966BFB603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53</xdr:col>
      <xdr:colOff>878794</xdr:colOff>
      <xdr:row>35</xdr:row>
      <xdr:rowOff>368698</xdr:rowOff>
    </xdr:from>
    <xdr:to>
      <xdr:col>55</xdr:col>
      <xdr:colOff>207311</xdr:colOff>
      <xdr:row>38</xdr:row>
      <xdr:rowOff>114022</xdr:rowOff>
    </xdr:to>
    <xdr:grpSp>
      <xdr:nvGrpSpPr>
        <xdr:cNvPr id="901" name="Group 224">
          <a:extLst>
            <a:ext uri="{FF2B5EF4-FFF2-40B4-BE49-F238E27FC236}">
              <a16:creationId xmlns:a16="http://schemas.microsoft.com/office/drawing/2014/main" id="{BB1AF188-D193-452E-AF1A-0348EE75D07D}"/>
            </a:ext>
          </a:extLst>
        </xdr:cNvPr>
        <xdr:cNvGrpSpPr/>
      </xdr:nvGrpSpPr>
      <xdr:grpSpPr>
        <a:xfrm>
          <a:off x="86145183" y="15114809"/>
          <a:ext cx="1092406" cy="1121157"/>
          <a:chOff x="3733800" y="16354425"/>
          <a:chExt cx="1743075" cy="1409700"/>
        </a:xfrm>
      </xdr:grpSpPr>
      <xdr:sp macro="" textlink="">
        <xdr:nvSpPr>
          <xdr:cNvPr id="902" name="Rectangle 901">
            <a:extLst>
              <a:ext uri="{FF2B5EF4-FFF2-40B4-BE49-F238E27FC236}">
                <a16:creationId xmlns:a16="http://schemas.microsoft.com/office/drawing/2014/main" id="{CA17DB2D-673C-E4F8-103E-9418A4EFB2A5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903" name="Group 212">
            <a:extLst>
              <a:ext uri="{FF2B5EF4-FFF2-40B4-BE49-F238E27FC236}">
                <a16:creationId xmlns:a16="http://schemas.microsoft.com/office/drawing/2014/main" id="{6D9A61BB-753F-E250-05C8-CE84AA6C4AEF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904" name="Line 11">
              <a:extLst>
                <a:ext uri="{FF2B5EF4-FFF2-40B4-BE49-F238E27FC236}">
                  <a16:creationId xmlns:a16="http://schemas.microsoft.com/office/drawing/2014/main" id="{CEBF75B4-39C0-E145-883C-3307705978A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905" name="Line 12">
              <a:extLst>
                <a:ext uri="{FF2B5EF4-FFF2-40B4-BE49-F238E27FC236}">
                  <a16:creationId xmlns:a16="http://schemas.microsoft.com/office/drawing/2014/main" id="{8775B425-4E1F-D5F4-7618-9E60FE2628C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906" name="Line 13">
              <a:extLst>
                <a:ext uri="{FF2B5EF4-FFF2-40B4-BE49-F238E27FC236}">
                  <a16:creationId xmlns:a16="http://schemas.microsoft.com/office/drawing/2014/main" id="{D825E1F7-5C7B-EF76-9069-D5501F466FF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907" name="Line 14">
              <a:extLst>
                <a:ext uri="{FF2B5EF4-FFF2-40B4-BE49-F238E27FC236}">
                  <a16:creationId xmlns:a16="http://schemas.microsoft.com/office/drawing/2014/main" id="{E720F464-CC14-E669-75C9-3DB5974C9049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908" name="Line 15">
              <a:extLst>
                <a:ext uri="{FF2B5EF4-FFF2-40B4-BE49-F238E27FC236}">
                  <a16:creationId xmlns:a16="http://schemas.microsoft.com/office/drawing/2014/main" id="{9343E651-1699-86EC-5ED3-76BA2B0A6B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36</xdr:col>
      <xdr:colOff>2941053</xdr:colOff>
      <xdr:row>37</xdr:row>
      <xdr:rowOff>141063</xdr:rowOff>
    </xdr:from>
    <xdr:to>
      <xdr:col>39</xdr:col>
      <xdr:colOff>2975915</xdr:colOff>
      <xdr:row>37</xdr:row>
      <xdr:rowOff>300791</xdr:rowOff>
    </xdr:to>
    <xdr:cxnSp macro="">
      <xdr:nvCxnSpPr>
        <xdr:cNvPr id="909" name="Straight Arrow Connector 532">
          <a:extLst>
            <a:ext uri="{FF2B5EF4-FFF2-40B4-BE49-F238E27FC236}">
              <a16:creationId xmlns:a16="http://schemas.microsoft.com/office/drawing/2014/main" id="{388F66CD-5C54-41FA-91A5-DE1967B849E6}"/>
            </a:ext>
          </a:extLst>
        </xdr:cNvPr>
        <xdr:cNvCxnSpPr>
          <a:cxnSpLocks/>
          <a:stCxn id="304" idx="3"/>
          <a:endCxn id="597" idx="1"/>
        </xdr:cNvCxnSpPr>
      </xdr:nvCxnSpPr>
      <xdr:spPr>
        <a:xfrm flipV="1">
          <a:off x="58390160" y="15698563"/>
          <a:ext cx="5182898" cy="159728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464129</xdr:colOff>
      <xdr:row>36</xdr:row>
      <xdr:rowOff>390104</xdr:rowOff>
    </xdr:from>
    <xdr:to>
      <xdr:col>46</xdr:col>
      <xdr:colOff>46618</xdr:colOff>
      <xdr:row>37</xdr:row>
      <xdr:rowOff>147775</xdr:rowOff>
    </xdr:to>
    <xdr:cxnSp macro="">
      <xdr:nvCxnSpPr>
        <xdr:cNvPr id="914" name="Straight Arrow Connector 532">
          <a:extLst>
            <a:ext uri="{FF2B5EF4-FFF2-40B4-BE49-F238E27FC236}">
              <a16:creationId xmlns:a16="http://schemas.microsoft.com/office/drawing/2014/main" id="{DE340255-64AC-4E3F-81B9-33C782E6F3EE}"/>
            </a:ext>
          </a:extLst>
        </xdr:cNvPr>
        <xdr:cNvCxnSpPr>
          <a:cxnSpLocks/>
          <a:stCxn id="659" idx="3"/>
          <a:endCxn id="566" idx="1"/>
        </xdr:cNvCxnSpPr>
      </xdr:nvCxnSpPr>
      <xdr:spPr>
        <a:xfrm>
          <a:off x="68885379" y="15494033"/>
          <a:ext cx="5932489" cy="211242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408215</xdr:colOff>
      <xdr:row>37</xdr:row>
      <xdr:rowOff>147775</xdr:rowOff>
    </xdr:from>
    <xdr:to>
      <xdr:col>51</xdr:col>
      <xdr:colOff>49365</xdr:colOff>
      <xdr:row>37</xdr:row>
      <xdr:rowOff>284485</xdr:rowOff>
    </xdr:to>
    <xdr:cxnSp macro="">
      <xdr:nvCxnSpPr>
        <xdr:cNvPr id="917" name="Straight Arrow Connector 532">
          <a:extLst>
            <a:ext uri="{FF2B5EF4-FFF2-40B4-BE49-F238E27FC236}">
              <a16:creationId xmlns:a16="http://schemas.microsoft.com/office/drawing/2014/main" id="{76CFC6C6-C1F3-4C7B-9C7B-3BFF24E8E043}"/>
            </a:ext>
          </a:extLst>
        </xdr:cNvPr>
        <xdr:cNvCxnSpPr>
          <a:cxnSpLocks/>
          <a:stCxn id="566" idx="3"/>
          <a:endCxn id="574" idx="1"/>
        </xdr:cNvCxnSpPr>
      </xdr:nvCxnSpPr>
      <xdr:spPr>
        <a:xfrm>
          <a:off x="79102858" y="15705275"/>
          <a:ext cx="4199543" cy="13671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22678</xdr:colOff>
      <xdr:row>37</xdr:row>
      <xdr:rowOff>82042</xdr:rowOff>
    </xdr:from>
    <xdr:to>
      <xdr:col>56</xdr:col>
      <xdr:colOff>16036</xdr:colOff>
      <xdr:row>37</xdr:row>
      <xdr:rowOff>412467</xdr:rowOff>
    </xdr:to>
    <xdr:cxnSp macro="">
      <xdr:nvCxnSpPr>
        <xdr:cNvPr id="920" name="Straight Arrow Connector 532">
          <a:extLst>
            <a:ext uri="{FF2B5EF4-FFF2-40B4-BE49-F238E27FC236}">
              <a16:creationId xmlns:a16="http://schemas.microsoft.com/office/drawing/2014/main" id="{037E884F-17B1-4F76-A070-033371736E12}"/>
            </a:ext>
          </a:extLst>
        </xdr:cNvPr>
        <xdr:cNvCxnSpPr>
          <a:stCxn id="579" idx="3"/>
          <a:endCxn id="560" idx="1"/>
        </xdr:cNvCxnSpPr>
      </xdr:nvCxnSpPr>
      <xdr:spPr>
        <a:xfrm>
          <a:off x="88559821" y="15639542"/>
          <a:ext cx="4891929" cy="3304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1133928</xdr:colOff>
      <xdr:row>32</xdr:row>
      <xdr:rowOff>136071</xdr:rowOff>
    </xdr:from>
    <xdr:to>
      <xdr:col>64</xdr:col>
      <xdr:colOff>2032642</xdr:colOff>
      <xdr:row>34</xdr:row>
      <xdr:rowOff>189931</xdr:rowOff>
    </xdr:to>
    <xdr:grpSp>
      <xdr:nvGrpSpPr>
        <xdr:cNvPr id="932" name="Group 206">
          <a:extLst>
            <a:ext uri="{FF2B5EF4-FFF2-40B4-BE49-F238E27FC236}">
              <a16:creationId xmlns:a16="http://schemas.microsoft.com/office/drawing/2014/main" id="{6F87FADE-B27A-48EB-B31B-063449EFE474}"/>
            </a:ext>
          </a:extLst>
        </xdr:cNvPr>
        <xdr:cNvGrpSpPr/>
      </xdr:nvGrpSpPr>
      <xdr:grpSpPr>
        <a:xfrm>
          <a:off x="102698650" y="13506349"/>
          <a:ext cx="752664" cy="971082"/>
          <a:chOff x="266700" y="14344650"/>
          <a:chExt cx="1743075" cy="1314450"/>
        </a:xfrm>
      </xdr:grpSpPr>
      <xdr:sp macro="" textlink="">
        <xdr:nvSpPr>
          <xdr:cNvPr id="933" name="Rectangle 932">
            <a:extLst>
              <a:ext uri="{FF2B5EF4-FFF2-40B4-BE49-F238E27FC236}">
                <a16:creationId xmlns:a16="http://schemas.microsoft.com/office/drawing/2014/main" id="{BE1F07E3-EE68-C357-DA48-ED8B7239C312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34" name="Arc 26">
            <a:extLst>
              <a:ext uri="{FF2B5EF4-FFF2-40B4-BE49-F238E27FC236}">
                <a16:creationId xmlns:a16="http://schemas.microsoft.com/office/drawing/2014/main" id="{CF2611B8-CD86-AFCC-478C-B6F6DC881C8E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2381250</xdr:colOff>
          <xdr:row>19</xdr:row>
          <xdr:rowOff>438150</xdr:rowOff>
        </xdr:from>
        <xdr:to>
          <xdr:col>22</xdr:col>
          <xdr:colOff>622300</xdr:colOff>
          <xdr:row>24</xdr:row>
          <xdr:rowOff>355600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47AFA0F-7E8C-4FCE-AE3B-AE57A4C19470}">
  <we:reference id="wa200005271" version="2.6.1.0" store="fr-FR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D66BBC9-5C59-4425-A439-48A3F959D0D6}">
  <we:reference id="wa200005502" version="1.0.0.12" store="fr-FR" storeType="OMEX"/>
  <we:alternateReferences>
    <we:reference id="WA200005502" version="1.0.0.12" store="" storeType="OMEX"/>
  </we:alternateReferences>
  <we:properties>
    <we:property name="docId" value="&quot;ubdS4TySqwsUoqr6l2xKG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2A2A-72B7-4A6D-B7DB-80B852C9BE96}">
  <sheetPr codeName="Feuil1">
    <tabColor rgb="FFFFC000"/>
  </sheetPr>
  <dimension ref="A1:WB2929"/>
  <sheetViews>
    <sheetView showGridLines="0" topLeftCell="AN10" zoomScale="18" zoomScaleNormal="25" workbookViewId="0">
      <selection activeCell="AW185" sqref="AW185"/>
    </sheetView>
  </sheetViews>
  <sheetFormatPr baseColWidth="10" defaultColWidth="9.1796875" defaultRowHeight="14.5" x14ac:dyDescent="0.35"/>
  <cols>
    <col min="1" max="1" width="12.81640625" customWidth="1"/>
    <col min="2" max="2" width="27.453125" customWidth="1"/>
    <col min="3" max="5" width="12.81640625" customWidth="1"/>
    <col min="6" max="6" width="16.453125" customWidth="1"/>
    <col min="7" max="7" width="12.81640625" customWidth="1"/>
    <col min="8" max="8" width="2.1796875" customWidth="1"/>
    <col min="9" max="13" width="12.81640625" customWidth="1"/>
    <col min="14" max="14" width="34.90625" customWidth="1"/>
    <col min="15" max="15" width="40.90625" customWidth="1"/>
    <col min="16" max="16" width="12.81640625" customWidth="1"/>
    <col min="17" max="17" width="5.81640625" bestFit="1" customWidth="1"/>
    <col min="18" max="18" width="6.54296875" bestFit="1" customWidth="1"/>
    <col min="19" max="19" width="23" bestFit="1" customWidth="1"/>
    <col min="20" max="20" width="12.453125" customWidth="1"/>
    <col min="21" max="21" width="42.1796875" customWidth="1"/>
    <col min="22" max="22" width="50.1796875" customWidth="1"/>
    <col min="23" max="23" width="24.6328125" customWidth="1"/>
    <col min="24" max="24" width="14.08984375" bestFit="1" customWidth="1"/>
    <col min="25" max="25" width="35.90625" bestFit="1" customWidth="1"/>
    <col min="26" max="26" width="4.1796875" bestFit="1" customWidth="1"/>
    <col min="27" max="27" width="8.81640625" bestFit="1" customWidth="1"/>
    <col min="28" max="28" width="12" bestFit="1" customWidth="1"/>
    <col min="29" max="29" width="27.6328125" customWidth="1"/>
    <col min="30" max="30" width="41" bestFit="1" customWidth="1"/>
    <col min="31" max="31" width="12.08984375" bestFit="1" customWidth="1"/>
    <col min="32" max="32" width="21.1796875" customWidth="1"/>
    <col min="33" max="33" width="39.7265625" customWidth="1"/>
    <col min="34" max="34" width="42.90625" customWidth="1"/>
    <col min="35" max="35" width="37.54296875" customWidth="1"/>
    <col min="36" max="36" width="22.90625" bestFit="1" customWidth="1"/>
    <col min="37" max="37" width="35.90625" bestFit="1" customWidth="1"/>
    <col min="38" max="38" width="12" bestFit="1" customWidth="1"/>
    <col min="39" max="39" width="18.54296875" customWidth="1"/>
    <col min="40" max="40" width="44.1796875" customWidth="1"/>
    <col min="41" max="41" width="23.81640625" customWidth="1"/>
    <col min="42" max="42" width="54.08984375" customWidth="1"/>
    <col min="43" max="43" width="45" customWidth="1"/>
    <col min="44" max="44" width="12.81640625" customWidth="1"/>
    <col min="45" max="45" width="21.36328125" customWidth="1"/>
    <col min="46" max="46" width="44.08984375" customWidth="1"/>
    <col min="47" max="47" width="21.90625" customWidth="1"/>
    <col min="48" max="48" width="31.81640625" bestFit="1" customWidth="1"/>
    <col min="49" max="49" width="9.81640625" bestFit="1" customWidth="1"/>
    <col min="50" max="50" width="16.453125" bestFit="1" customWidth="1"/>
    <col min="51" max="51" width="9.81640625" bestFit="1" customWidth="1"/>
    <col min="52" max="52" width="30.36328125" bestFit="1" customWidth="1"/>
    <col min="53" max="53" width="44" customWidth="1"/>
    <col min="54" max="55" width="12.81640625" customWidth="1"/>
    <col min="56" max="56" width="44.81640625" customWidth="1"/>
    <col min="57" max="57" width="25.453125" customWidth="1"/>
    <col min="58" max="58" width="31.26953125" customWidth="1"/>
    <col min="59" max="59" width="17.81640625" customWidth="1"/>
    <col min="60" max="60" width="45.1796875" customWidth="1"/>
    <col min="61" max="62" width="12.81640625" customWidth="1"/>
    <col min="63" max="63" width="9.1796875" bestFit="1" customWidth="1"/>
    <col min="64" max="64" width="9.7265625" bestFit="1" customWidth="1"/>
    <col min="65" max="65" width="27" bestFit="1" customWidth="1"/>
    <col min="66" max="66" width="17.81640625" bestFit="1" customWidth="1"/>
    <col min="67" max="67" width="12.81640625" customWidth="1"/>
    <col min="68" max="68" width="11" bestFit="1" customWidth="1"/>
    <col min="69" max="69" width="11.90625" bestFit="1" customWidth="1"/>
    <col min="70" max="70" width="23" bestFit="1" customWidth="1"/>
    <col min="71" max="71" width="21.7265625" customWidth="1"/>
    <col min="72" max="80" width="12.81640625" customWidth="1"/>
  </cols>
  <sheetData>
    <row r="1" spans="1:61" ht="17.25" customHeigh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spans="1:61" ht="54" customHeight="1" x14ac:dyDescent="1.2">
      <c r="A2" s="9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spans="1:6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spans="1:6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spans="1:61" ht="18.5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3" t="s">
        <v>1</v>
      </c>
      <c r="L5" s="2"/>
      <c r="M5" s="6" t="s">
        <v>2</v>
      </c>
      <c r="N5" s="4"/>
      <c r="O5" s="4"/>
      <c r="P5" s="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spans="1:61" ht="23.5" x14ac:dyDescent="0.55000000000000004">
      <c r="A6" s="2"/>
      <c r="B6" s="2"/>
      <c r="C6" s="8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spans="1:61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spans="1:61" ht="35.15" customHeight="1" x14ac:dyDescent="0.35">
      <c r="H8" s="1"/>
    </row>
    <row r="9" spans="1:61" ht="35.15" customHeight="1" x14ac:dyDescent="0.7">
      <c r="B9" s="5" t="s">
        <v>4</v>
      </c>
      <c r="F9" s="5" t="s">
        <v>5</v>
      </c>
      <c r="H9" s="1"/>
      <c r="O9" s="7"/>
    </row>
    <row r="10" spans="1:61" ht="35.15" customHeight="1" x14ac:dyDescent="0.35">
      <c r="H10" s="1"/>
    </row>
    <row r="11" spans="1:61" ht="35.15" customHeight="1" x14ac:dyDescent="0.7">
      <c r="H11" s="1"/>
      <c r="O11" s="7"/>
    </row>
    <row r="12" spans="1:61" ht="35.15" customHeight="1" x14ac:dyDescent="0.35">
      <c r="H12" s="1"/>
    </row>
    <row r="13" spans="1:61" ht="34.5" customHeight="1" x14ac:dyDescent="0.35">
      <c r="H13" s="1"/>
    </row>
    <row r="14" spans="1:61" ht="35.15" customHeight="1" x14ac:dyDescent="0.35">
      <c r="B14" s="5" t="s">
        <v>6</v>
      </c>
      <c r="F14" s="5" t="s">
        <v>7</v>
      </c>
      <c r="H14" s="1"/>
    </row>
    <row r="15" spans="1:61" ht="35.15" customHeight="1" x14ac:dyDescent="0.35">
      <c r="H15" s="1"/>
    </row>
    <row r="16" spans="1:61" ht="35.15" customHeight="1" x14ac:dyDescent="0.35">
      <c r="H16" s="1"/>
    </row>
    <row r="17" spans="2:18" ht="35.15" customHeight="1" x14ac:dyDescent="0.35">
      <c r="H17" s="1"/>
    </row>
    <row r="18" spans="2:18" ht="35.15" customHeight="1" x14ac:dyDescent="0.35">
      <c r="H18" s="1"/>
      <c r="R18" s="10"/>
    </row>
    <row r="19" spans="2:18" ht="35.15" customHeight="1" x14ac:dyDescent="0.35">
      <c r="H19" s="1"/>
    </row>
    <row r="20" spans="2:18" ht="35.15" customHeight="1" x14ac:dyDescent="0.35">
      <c r="B20" s="5" t="s">
        <v>8</v>
      </c>
      <c r="F20" s="5" t="s">
        <v>9</v>
      </c>
      <c r="H20" s="1"/>
    </row>
    <row r="21" spans="2:18" ht="35.15" customHeight="1" x14ac:dyDescent="0.35">
      <c r="H21" s="1"/>
    </row>
    <row r="22" spans="2:18" ht="35.15" customHeight="1" x14ac:dyDescent="0.35">
      <c r="H22" s="1"/>
    </row>
    <row r="23" spans="2:18" ht="35.15" customHeight="1" x14ac:dyDescent="0.35">
      <c r="H23" s="1"/>
    </row>
    <row r="24" spans="2:18" ht="35.15" customHeight="1" x14ac:dyDescent="0.35">
      <c r="H24" s="1"/>
    </row>
    <row r="25" spans="2:18" ht="35.15" customHeight="1" x14ac:dyDescent="0.35">
      <c r="B25" s="5" t="s">
        <v>10</v>
      </c>
      <c r="F25" s="5" t="s">
        <v>11</v>
      </c>
      <c r="H25" s="1"/>
    </row>
    <row r="26" spans="2:18" ht="35.15" customHeight="1" x14ac:dyDescent="0.35">
      <c r="H26" s="1"/>
    </row>
    <row r="27" spans="2:18" ht="35.15" customHeight="1" x14ac:dyDescent="0.35">
      <c r="H27" s="1"/>
    </row>
    <row r="28" spans="2:18" ht="35.15" customHeight="1" x14ac:dyDescent="0.35">
      <c r="H28" s="1"/>
    </row>
    <row r="29" spans="2:18" ht="35.15" customHeight="1" x14ac:dyDescent="0.35">
      <c r="H29" s="1"/>
    </row>
    <row r="30" spans="2:18" ht="35.15" customHeight="1" x14ac:dyDescent="0.35">
      <c r="B30" s="5" t="s">
        <v>12</v>
      </c>
      <c r="F30" s="5" t="s">
        <v>13</v>
      </c>
      <c r="H30" s="1"/>
    </row>
    <row r="31" spans="2:18" ht="35.15" customHeight="1" x14ac:dyDescent="0.35">
      <c r="H31" s="1"/>
      <c r="R31" s="11"/>
    </row>
    <row r="32" spans="2:18" ht="35.15" customHeight="1" x14ac:dyDescent="0.35">
      <c r="H32" s="1"/>
    </row>
    <row r="33" spans="2:58" ht="35.15" customHeight="1" x14ac:dyDescent="0.35">
      <c r="H33" s="1"/>
    </row>
    <row r="34" spans="2:58" ht="35.15" customHeight="1" x14ac:dyDescent="0.35">
      <c r="H34" s="1"/>
    </row>
    <row r="35" spans="2:58" ht="35.15" customHeight="1" x14ac:dyDescent="0.35">
      <c r="B35" s="5" t="s">
        <v>14</v>
      </c>
      <c r="F35" s="5" t="s">
        <v>15</v>
      </c>
      <c r="H35" s="1"/>
    </row>
    <row r="36" spans="2:58" ht="35.15" customHeight="1" x14ac:dyDescent="0.35">
      <c r="H36" s="1"/>
    </row>
    <row r="37" spans="2:58" ht="35.15" customHeight="1" x14ac:dyDescent="0.35">
      <c r="H37" s="1"/>
    </row>
    <row r="38" spans="2:58" ht="35.15" customHeight="1" x14ac:dyDescent="0.35">
      <c r="H38" s="1"/>
    </row>
    <row r="39" spans="2:58" ht="35.15" customHeight="1" x14ac:dyDescent="0.35">
      <c r="H39" s="1"/>
    </row>
    <row r="40" spans="2:58" ht="35.15" customHeight="1" x14ac:dyDescent="0.35">
      <c r="B40" s="5" t="s">
        <v>16</v>
      </c>
      <c r="F40" s="5" t="s">
        <v>17</v>
      </c>
      <c r="H40" s="1"/>
      <c r="AO40" s="14" t="s">
        <v>49</v>
      </c>
      <c r="AP40" s="15"/>
      <c r="AU40" s="14" t="s">
        <v>55</v>
      </c>
      <c r="AV40" s="15"/>
      <c r="AZ40" s="14" t="s">
        <v>48</v>
      </c>
      <c r="BA40" s="15"/>
    </row>
    <row r="41" spans="2:58" ht="35.15" customHeight="1" x14ac:dyDescent="0.35">
      <c r="H41" s="1"/>
      <c r="N41" s="14" t="s">
        <v>51</v>
      </c>
      <c r="O41" s="15"/>
      <c r="X41" s="14" t="s">
        <v>55</v>
      </c>
      <c r="Y41" s="15"/>
      <c r="AC41" s="14" t="s">
        <v>50</v>
      </c>
      <c r="AD41" s="15"/>
      <c r="AJ41" s="14" t="s">
        <v>52</v>
      </c>
      <c r="AK41" s="15"/>
      <c r="AO41" s="13" t="s">
        <v>39</v>
      </c>
      <c r="AP41" s="12" t="s">
        <v>64</v>
      </c>
      <c r="AU41" s="13" t="s">
        <v>39</v>
      </c>
      <c r="AV41" s="12" t="s">
        <v>66</v>
      </c>
      <c r="AZ41" s="13" t="s">
        <v>39</v>
      </c>
      <c r="BA41" s="12" t="s">
        <v>65</v>
      </c>
      <c r="BE41" s="14" t="s">
        <v>47</v>
      </c>
      <c r="BF41" s="15"/>
    </row>
    <row r="42" spans="2:58" ht="35.15" customHeight="1" x14ac:dyDescent="0.35">
      <c r="H42" s="1"/>
      <c r="N42" s="13" t="s">
        <v>39</v>
      </c>
      <c r="O42" s="12" t="s">
        <v>67</v>
      </c>
      <c r="S42" s="14" t="s">
        <v>49</v>
      </c>
      <c r="T42" s="15"/>
      <c r="X42" s="13" t="s">
        <v>39</v>
      </c>
      <c r="Y42" s="12" t="s">
        <v>66</v>
      </c>
      <c r="AC42" s="13" t="s">
        <v>39</v>
      </c>
      <c r="AD42" s="12" t="s">
        <v>69</v>
      </c>
      <c r="AJ42" s="13" t="s">
        <v>39</v>
      </c>
      <c r="AK42" s="12" t="s">
        <v>68</v>
      </c>
      <c r="AO42" s="13" t="s">
        <v>40</v>
      </c>
      <c r="AP42" s="12" t="s">
        <v>56</v>
      </c>
      <c r="AU42" s="13" t="s">
        <v>40</v>
      </c>
      <c r="AV42" s="12" t="s">
        <v>59</v>
      </c>
      <c r="AZ42" s="13" t="s">
        <v>40</v>
      </c>
      <c r="BA42" s="12" t="s">
        <v>58</v>
      </c>
      <c r="BE42" s="13" t="s">
        <v>39</v>
      </c>
      <c r="BF42" s="12" t="s">
        <v>70</v>
      </c>
    </row>
    <row r="43" spans="2:58" ht="35.15" customHeight="1" x14ac:dyDescent="0.35">
      <c r="H43" s="1"/>
      <c r="N43" s="13" t="s">
        <v>40</v>
      </c>
      <c r="O43" s="12" t="s">
        <v>54</v>
      </c>
      <c r="S43" s="13" t="s">
        <v>39</v>
      </c>
      <c r="T43" s="12" t="s">
        <v>64</v>
      </c>
      <c r="X43" s="13" t="s">
        <v>40</v>
      </c>
      <c r="Y43" s="12" t="s">
        <v>59</v>
      </c>
      <c r="AC43" s="13" t="s">
        <v>40</v>
      </c>
      <c r="AD43" s="12" t="s">
        <v>62</v>
      </c>
      <c r="AJ43" s="13" t="s">
        <v>40</v>
      </c>
      <c r="AK43" s="12" t="s">
        <v>61</v>
      </c>
      <c r="AO43" s="13" t="s">
        <v>41</v>
      </c>
      <c r="AP43" s="12" t="s">
        <v>57</v>
      </c>
      <c r="AU43" s="13" t="s">
        <v>41</v>
      </c>
      <c r="AV43" s="12" t="s">
        <v>60</v>
      </c>
      <c r="AZ43" s="13" t="s">
        <v>41</v>
      </c>
      <c r="BA43" s="12" t="s">
        <v>45</v>
      </c>
      <c r="BE43" s="13" t="s">
        <v>40</v>
      </c>
      <c r="BF43" s="12" t="s">
        <v>63</v>
      </c>
    </row>
    <row r="44" spans="2:58" ht="35.15" customHeight="1" x14ac:dyDescent="0.35">
      <c r="H44" s="1"/>
      <c r="N44" s="13" t="s">
        <v>41</v>
      </c>
      <c r="O44" s="12" t="s">
        <v>45</v>
      </c>
      <c r="S44" s="13" t="s">
        <v>40</v>
      </c>
      <c r="T44" s="12" t="s">
        <v>56</v>
      </c>
      <c r="X44" s="13" t="s">
        <v>41</v>
      </c>
      <c r="Y44" s="12" t="s">
        <v>60</v>
      </c>
      <c r="AC44" s="13" t="s">
        <v>41</v>
      </c>
      <c r="AD44" s="12" t="s">
        <v>45</v>
      </c>
      <c r="AJ44" s="13" t="s">
        <v>41</v>
      </c>
      <c r="AK44" s="12" t="s">
        <v>45</v>
      </c>
      <c r="AO44" s="13" t="s">
        <v>42</v>
      </c>
      <c r="AP44" s="12">
        <v>1</v>
      </c>
      <c r="AU44" s="13" t="s">
        <v>42</v>
      </c>
      <c r="AV44" s="12">
        <v>1</v>
      </c>
      <c r="AZ44" s="13" t="s">
        <v>42</v>
      </c>
      <c r="BA44" s="12">
        <v>1</v>
      </c>
      <c r="BE44" s="13" t="s">
        <v>41</v>
      </c>
      <c r="BF44" s="12" t="s">
        <v>45</v>
      </c>
    </row>
    <row r="45" spans="2:58" ht="35.15" customHeight="1" x14ac:dyDescent="0.35">
      <c r="B45" s="5" t="s">
        <v>18</v>
      </c>
      <c r="F45" s="5" t="s">
        <v>19</v>
      </c>
      <c r="H45" s="1"/>
      <c r="N45" s="13" t="s">
        <v>42</v>
      </c>
      <c r="O45" s="12" t="s">
        <v>53</v>
      </c>
      <c r="S45" s="13" t="s">
        <v>41</v>
      </c>
      <c r="T45" s="12" t="s">
        <v>57</v>
      </c>
      <c r="X45" s="13" t="s">
        <v>42</v>
      </c>
      <c r="Y45" s="12">
        <v>1</v>
      </c>
      <c r="AC45" s="13" t="s">
        <v>42</v>
      </c>
      <c r="AD45" s="12" t="s">
        <v>53</v>
      </c>
      <c r="AJ45" s="13" t="s">
        <v>42</v>
      </c>
      <c r="AK45" s="12" t="s">
        <v>53</v>
      </c>
      <c r="AO45" s="13" t="s">
        <v>43</v>
      </c>
      <c r="AP45" s="12">
        <v>1</v>
      </c>
      <c r="AU45" s="13" t="s">
        <v>43</v>
      </c>
      <c r="AV45" s="12" t="s">
        <v>46</v>
      </c>
      <c r="AZ45" s="13" t="s">
        <v>43</v>
      </c>
      <c r="BA45" s="12" t="s">
        <v>46</v>
      </c>
      <c r="BE45" s="13" t="s">
        <v>42</v>
      </c>
      <c r="BF45" s="12">
        <v>1</v>
      </c>
    </row>
    <row r="46" spans="2:58" ht="35.15" customHeight="1" x14ac:dyDescent="0.35">
      <c r="H46" s="1"/>
      <c r="N46" s="13" t="s">
        <v>43</v>
      </c>
      <c r="O46" s="12" t="s">
        <v>46</v>
      </c>
      <c r="S46" s="13" t="s">
        <v>42</v>
      </c>
      <c r="T46" s="12">
        <v>1</v>
      </c>
      <c r="X46" s="13" t="s">
        <v>43</v>
      </c>
      <c r="Y46" s="12" t="s">
        <v>46</v>
      </c>
      <c r="AC46" s="13" t="s">
        <v>43</v>
      </c>
      <c r="AD46" s="12" t="s">
        <v>46</v>
      </c>
      <c r="AJ46" s="13" t="s">
        <v>43</v>
      </c>
      <c r="AK46" s="12" t="s">
        <v>46</v>
      </c>
      <c r="AO46" s="13" t="s">
        <v>44</v>
      </c>
      <c r="AP46" s="12">
        <v>3</v>
      </c>
      <c r="AU46" s="13" t="s">
        <v>44</v>
      </c>
      <c r="AV46" s="12">
        <v>3</v>
      </c>
      <c r="AZ46" s="13" t="s">
        <v>44</v>
      </c>
      <c r="BA46" s="12">
        <v>3</v>
      </c>
      <c r="BE46" s="13" t="s">
        <v>43</v>
      </c>
      <c r="BF46" s="12">
        <v>1</v>
      </c>
    </row>
    <row r="47" spans="2:58" ht="35.15" customHeight="1" x14ac:dyDescent="0.35">
      <c r="H47" s="1"/>
      <c r="N47" s="13" t="s">
        <v>44</v>
      </c>
      <c r="O47" s="12">
        <v>3</v>
      </c>
      <c r="S47" s="13" t="s">
        <v>43</v>
      </c>
      <c r="T47" s="12">
        <v>1</v>
      </c>
      <c r="X47" s="13" t="s">
        <v>44</v>
      </c>
      <c r="Y47" s="12">
        <v>3</v>
      </c>
      <c r="AC47" s="13" t="s">
        <v>44</v>
      </c>
      <c r="AD47" s="12">
        <v>3</v>
      </c>
      <c r="AJ47" s="13" t="s">
        <v>44</v>
      </c>
      <c r="AK47" s="12">
        <v>3</v>
      </c>
      <c r="BE47" s="13" t="s">
        <v>44</v>
      </c>
      <c r="BF47" s="12">
        <v>3</v>
      </c>
    </row>
    <row r="48" spans="2:58" ht="35.15" customHeight="1" x14ac:dyDescent="0.35">
      <c r="H48" s="1"/>
      <c r="S48" s="13" t="s">
        <v>44</v>
      </c>
      <c r="T48" s="12">
        <v>3</v>
      </c>
    </row>
    <row r="49" spans="2:600" ht="35.15" customHeight="1" x14ac:dyDescent="0.35">
      <c r="H49" s="1"/>
    </row>
    <row r="50" spans="2:600" ht="35.15" customHeight="1" x14ac:dyDescent="0.35">
      <c r="B50" s="5" t="s">
        <v>20</v>
      </c>
      <c r="F50" s="5" t="s">
        <v>21</v>
      </c>
      <c r="H50" s="1"/>
    </row>
    <row r="51" spans="2:600" ht="35.15" customHeight="1" x14ac:dyDescent="0.35">
      <c r="H51" s="1"/>
    </row>
    <row r="52" spans="2:600" ht="79.25" customHeight="1" thickBot="1" x14ac:dyDescent="0.4">
      <c r="H52" s="1"/>
      <c r="I52" s="33"/>
      <c r="J52" s="33"/>
      <c r="K52" s="33"/>
      <c r="L52" s="33"/>
      <c r="M52" s="33"/>
      <c r="N52" s="33"/>
      <c r="O52" s="44"/>
      <c r="P52" s="59">
        <v>8776</v>
      </c>
      <c r="Q52" s="60"/>
      <c r="R52" s="61"/>
      <c r="S52" s="33"/>
      <c r="T52" s="44"/>
      <c r="U52" s="59">
        <v>6435</v>
      </c>
      <c r="V52" s="60"/>
      <c r="W52" s="61"/>
      <c r="X52" s="33"/>
      <c r="Y52" s="44"/>
      <c r="Z52" s="59">
        <v>4833</v>
      </c>
      <c r="AA52" s="60"/>
      <c r="AB52" s="61"/>
      <c r="AC52" s="33"/>
      <c r="AD52" s="44"/>
      <c r="AE52" s="59">
        <v>7040</v>
      </c>
      <c r="AF52" s="60"/>
      <c r="AG52" s="60"/>
      <c r="AH52" s="60"/>
      <c r="AI52" s="61"/>
      <c r="AJ52" s="33"/>
      <c r="AK52" s="44"/>
      <c r="AL52" s="59">
        <v>8776</v>
      </c>
      <c r="AM52" s="60"/>
      <c r="AN52" s="61"/>
      <c r="AO52" s="33"/>
      <c r="AP52" s="44"/>
      <c r="AQ52" s="59">
        <v>6435</v>
      </c>
      <c r="AR52" s="60"/>
      <c r="AS52" s="60"/>
      <c r="AT52" s="61"/>
      <c r="AU52" s="33"/>
      <c r="AV52" s="44"/>
      <c r="AW52" s="59">
        <v>17080</v>
      </c>
      <c r="AX52" s="60"/>
      <c r="AY52" s="61"/>
      <c r="AZ52" s="33"/>
      <c r="BA52" s="44"/>
      <c r="BB52" s="59">
        <v>57960</v>
      </c>
      <c r="BC52" s="60"/>
      <c r="BD52" s="61"/>
      <c r="BE52" s="33"/>
      <c r="BF52" s="33"/>
      <c r="BG52" s="46"/>
      <c r="BH52" s="46"/>
      <c r="BI52" s="46"/>
      <c r="BJ52" s="46"/>
      <c r="BK52" s="47" t="s">
        <v>108</v>
      </c>
      <c r="BL52" s="51" t="s">
        <v>112</v>
      </c>
      <c r="BM52" s="49" t="s">
        <v>111</v>
      </c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  <c r="GK52" s="32"/>
      <c r="GL52" s="32"/>
      <c r="GM52" s="32"/>
      <c r="GN52" s="32"/>
      <c r="GO52" s="32"/>
      <c r="GP52" s="32"/>
      <c r="GQ52" s="32"/>
      <c r="GR52" s="32"/>
      <c r="GS52" s="32"/>
      <c r="GT52" s="32"/>
      <c r="GU52" s="32"/>
      <c r="GV52" s="32"/>
      <c r="GW52" s="32"/>
      <c r="GX52" s="32"/>
      <c r="GY52" s="32"/>
      <c r="GZ52" s="32"/>
      <c r="HA52" s="32"/>
      <c r="HB52" s="32"/>
      <c r="HC52" s="32"/>
      <c r="HD52" s="32"/>
      <c r="HE52" s="32"/>
      <c r="HF52" s="32"/>
      <c r="HG52" s="32"/>
      <c r="HH52" s="32"/>
      <c r="HI52" s="32"/>
      <c r="HJ52" s="32"/>
      <c r="HK52" s="32"/>
      <c r="HL52" s="32"/>
      <c r="HM52" s="32"/>
      <c r="HN52" s="32"/>
      <c r="HO52" s="32"/>
      <c r="HP52" s="32"/>
      <c r="HQ52" s="32"/>
      <c r="HR52" s="32"/>
      <c r="HS52" s="32"/>
      <c r="HT52" s="32"/>
      <c r="HU52" s="32"/>
      <c r="HV52" s="32"/>
      <c r="HW52" s="32"/>
      <c r="HX52" s="32"/>
      <c r="HY52" s="32"/>
      <c r="HZ52" s="32"/>
      <c r="IA52" s="32"/>
      <c r="IB52" s="32"/>
      <c r="IC52" s="32"/>
      <c r="ID52" s="32"/>
      <c r="IE52" s="32"/>
      <c r="IF52" s="32"/>
      <c r="IG52" s="32"/>
      <c r="IH52" s="32"/>
      <c r="II52" s="32"/>
      <c r="IJ52" s="32"/>
      <c r="IK52" s="32"/>
      <c r="IL52" s="32"/>
      <c r="IM52" s="32"/>
      <c r="IN52" s="32"/>
      <c r="IO52" s="32"/>
      <c r="IP52" s="32"/>
      <c r="IQ52" s="32"/>
      <c r="IR52" s="32"/>
      <c r="IS52" s="32"/>
      <c r="IT52" s="32"/>
      <c r="IU52" s="32"/>
      <c r="IV52" s="32"/>
      <c r="IW52" s="32"/>
      <c r="IX52" s="32"/>
      <c r="IY52" s="32"/>
      <c r="IZ52" s="32"/>
      <c r="JA52" s="32"/>
      <c r="JB52" s="32"/>
      <c r="JC52" s="32"/>
      <c r="JD52" s="32"/>
      <c r="JE52" s="32"/>
      <c r="JF52" s="32"/>
      <c r="JG52" s="32"/>
      <c r="JH52" s="32"/>
      <c r="JI52" s="32"/>
      <c r="JJ52" s="32"/>
      <c r="JK52" s="32"/>
      <c r="JL52" s="32"/>
      <c r="JM52" s="32"/>
      <c r="JN52" s="32"/>
      <c r="JO52" s="32"/>
      <c r="JP52" s="32"/>
      <c r="JQ52" s="32"/>
      <c r="JR52" s="32"/>
      <c r="JS52" s="32"/>
      <c r="JT52" s="32"/>
      <c r="JU52" s="32"/>
      <c r="JV52" s="32"/>
      <c r="JW52" s="32"/>
      <c r="JX52" s="32"/>
      <c r="JY52" s="32"/>
      <c r="JZ52" s="32"/>
      <c r="KA52" s="32"/>
      <c r="KB52" s="32"/>
      <c r="KC52" s="32"/>
      <c r="KD52" s="32"/>
      <c r="KE52" s="32"/>
      <c r="KF52" s="32"/>
      <c r="KG52" s="32"/>
      <c r="KH52" s="32"/>
      <c r="KI52" s="32"/>
      <c r="KJ52" s="32"/>
      <c r="KK52" s="32"/>
      <c r="KL52" s="32"/>
      <c r="KM52" s="32"/>
      <c r="KN52" s="32"/>
      <c r="KO52" s="32"/>
      <c r="KP52" s="32"/>
      <c r="KQ52" s="32"/>
      <c r="KR52" s="32"/>
      <c r="KS52" s="32"/>
      <c r="KT52" s="32"/>
      <c r="KU52" s="32"/>
      <c r="KV52" s="32"/>
      <c r="KW52" s="32"/>
      <c r="KX52" s="32"/>
      <c r="KY52" s="32"/>
      <c r="KZ52" s="32"/>
      <c r="LA52" s="32"/>
      <c r="LB52" s="32"/>
      <c r="LC52" s="32"/>
      <c r="LD52" s="32"/>
      <c r="LE52" s="32"/>
      <c r="LF52" s="32"/>
      <c r="LG52" s="32"/>
      <c r="LH52" s="32"/>
      <c r="LI52" s="32"/>
      <c r="LJ52" s="32"/>
      <c r="LK52" s="32"/>
      <c r="LL52" s="32"/>
      <c r="LM52" s="32"/>
      <c r="LN52" s="32"/>
      <c r="LO52" s="32"/>
      <c r="LP52" s="32"/>
      <c r="LQ52" s="32"/>
      <c r="LR52" s="32"/>
      <c r="LS52" s="32"/>
      <c r="LT52" s="32"/>
      <c r="LU52" s="32"/>
      <c r="LV52" s="32"/>
      <c r="LW52" s="32"/>
      <c r="LX52" s="32"/>
      <c r="LY52" s="32"/>
      <c r="LZ52" s="32"/>
      <c r="MA52" s="32"/>
      <c r="MB52" s="32"/>
      <c r="MC52" s="32"/>
      <c r="MD52" s="32"/>
      <c r="ME52" s="32"/>
      <c r="MF52" s="32"/>
      <c r="MG52" s="32"/>
      <c r="MH52" s="32"/>
      <c r="MI52" s="32"/>
      <c r="MJ52" s="32"/>
      <c r="MK52" s="32"/>
      <c r="ML52" s="32"/>
      <c r="MM52" s="32"/>
      <c r="MN52" s="32"/>
      <c r="MO52" s="32"/>
      <c r="MP52" s="32"/>
      <c r="MQ52" s="32"/>
      <c r="MR52" s="32"/>
      <c r="MS52" s="32"/>
      <c r="MT52" s="32"/>
      <c r="MU52" s="32"/>
      <c r="MV52" s="32"/>
      <c r="MW52" s="32"/>
      <c r="MX52" s="32"/>
      <c r="MY52" s="32"/>
      <c r="MZ52" s="32"/>
      <c r="NA52" s="32"/>
      <c r="NB52" s="32"/>
      <c r="NC52" s="32"/>
      <c r="ND52" s="32"/>
      <c r="NE52" s="32"/>
      <c r="NF52" s="32"/>
      <c r="NG52" s="32"/>
      <c r="NH52" s="32"/>
      <c r="NI52" s="32"/>
      <c r="NJ52" s="32"/>
      <c r="NK52" s="32"/>
      <c r="NL52" s="32"/>
      <c r="NM52" s="32"/>
      <c r="NN52" s="32"/>
      <c r="NO52" s="32"/>
      <c r="NP52" s="32"/>
      <c r="NQ52" s="32"/>
      <c r="NR52" s="32"/>
      <c r="NS52" s="32"/>
      <c r="NT52" s="32"/>
      <c r="NU52" s="32"/>
      <c r="NV52" s="32"/>
      <c r="NW52" s="32"/>
      <c r="NX52" s="32"/>
      <c r="NY52" s="32"/>
      <c r="NZ52" s="32"/>
      <c r="OA52" s="32"/>
      <c r="OB52" s="32"/>
      <c r="OC52" s="32"/>
      <c r="OD52" s="32"/>
      <c r="OE52" s="32"/>
      <c r="OF52" s="32"/>
      <c r="OG52" s="32"/>
      <c r="OH52" s="32"/>
      <c r="OI52" s="32"/>
      <c r="OJ52" s="32"/>
      <c r="OK52" s="32"/>
      <c r="OL52" s="32"/>
      <c r="OM52" s="32"/>
      <c r="ON52" s="32"/>
      <c r="OO52" s="32"/>
      <c r="OP52" s="32"/>
      <c r="OQ52" s="32"/>
      <c r="OR52" s="32"/>
      <c r="OS52" s="32"/>
      <c r="OT52" s="32"/>
      <c r="OU52" s="32"/>
      <c r="OV52" s="32"/>
      <c r="OW52" s="32"/>
      <c r="OX52" s="32"/>
      <c r="OY52" s="32"/>
      <c r="OZ52" s="32"/>
      <c r="PA52" s="32"/>
      <c r="PB52" s="32"/>
      <c r="PC52" s="32"/>
      <c r="PD52" s="32"/>
      <c r="PE52" s="32"/>
      <c r="PF52" s="32"/>
      <c r="PG52" s="32"/>
      <c r="PH52" s="32"/>
      <c r="PI52" s="32"/>
      <c r="PJ52" s="32"/>
      <c r="PK52" s="32"/>
      <c r="PL52" s="32"/>
      <c r="PM52" s="32"/>
      <c r="PN52" s="32"/>
      <c r="PO52" s="32"/>
      <c r="PP52" s="32"/>
      <c r="PQ52" s="32"/>
      <c r="PR52" s="32"/>
      <c r="PS52" s="32"/>
      <c r="PT52" s="32"/>
      <c r="PU52" s="32"/>
      <c r="PV52" s="32"/>
      <c r="PW52" s="32"/>
      <c r="PX52" s="32"/>
      <c r="PY52" s="32"/>
      <c r="PZ52" s="32"/>
      <c r="QA52" s="32"/>
      <c r="QB52" s="32"/>
      <c r="QC52" s="32"/>
      <c r="QD52" s="32"/>
      <c r="QE52" s="32"/>
      <c r="QF52" s="32"/>
      <c r="QG52" s="32"/>
      <c r="QH52" s="32"/>
      <c r="QI52" s="32"/>
      <c r="QJ52" s="32"/>
      <c r="QK52" s="32"/>
      <c r="QL52" s="32"/>
      <c r="QM52" s="32"/>
      <c r="QN52" s="32"/>
      <c r="QO52" s="32"/>
      <c r="QP52" s="32"/>
      <c r="QQ52" s="32"/>
      <c r="QR52" s="32"/>
      <c r="QS52" s="32"/>
      <c r="QT52" s="32"/>
      <c r="QU52" s="32"/>
      <c r="QV52" s="32"/>
      <c r="QW52" s="32"/>
      <c r="QX52" s="32"/>
      <c r="QY52" s="32"/>
      <c r="QZ52" s="32"/>
      <c r="RA52" s="32"/>
      <c r="RB52" s="32"/>
      <c r="RC52" s="32"/>
      <c r="RD52" s="32"/>
      <c r="RE52" s="32"/>
      <c r="RF52" s="32"/>
      <c r="RG52" s="32"/>
      <c r="RH52" s="32"/>
      <c r="RI52" s="32"/>
      <c r="RJ52" s="32"/>
      <c r="RK52" s="32"/>
      <c r="RL52" s="32"/>
      <c r="RM52" s="32"/>
      <c r="RN52" s="32"/>
      <c r="RO52" s="32"/>
      <c r="RP52" s="32"/>
      <c r="RQ52" s="32"/>
      <c r="RR52" s="32"/>
      <c r="RS52" s="32"/>
      <c r="RT52" s="32"/>
      <c r="RU52" s="32"/>
      <c r="RV52" s="32"/>
      <c r="RW52" s="32"/>
      <c r="RX52" s="32"/>
      <c r="RY52" s="32"/>
      <c r="RZ52" s="32"/>
      <c r="SA52" s="32"/>
      <c r="SB52" s="32"/>
      <c r="SC52" s="32"/>
      <c r="SD52" s="32"/>
      <c r="SE52" s="32"/>
      <c r="SF52" s="32"/>
      <c r="SG52" s="32"/>
      <c r="SH52" s="32"/>
      <c r="SI52" s="32"/>
      <c r="SJ52" s="32"/>
      <c r="SK52" s="32"/>
      <c r="SL52" s="32"/>
      <c r="SM52" s="32"/>
      <c r="SN52" s="32"/>
      <c r="SO52" s="32"/>
      <c r="SP52" s="32"/>
      <c r="SQ52" s="32"/>
      <c r="SR52" s="32"/>
      <c r="SS52" s="32"/>
      <c r="ST52" s="32"/>
      <c r="SU52" s="32"/>
      <c r="SV52" s="32"/>
      <c r="SW52" s="32"/>
      <c r="SX52" s="32"/>
      <c r="SY52" s="32"/>
      <c r="SZ52" s="32"/>
      <c r="TA52" s="32"/>
      <c r="TB52" s="32"/>
      <c r="TC52" s="32"/>
      <c r="TD52" s="32"/>
      <c r="TE52" s="32"/>
      <c r="TF52" s="32"/>
      <c r="TG52" s="32"/>
      <c r="TH52" s="32"/>
      <c r="TI52" s="32"/>
      <c r="TJ52" s="32"/>
      <c r="TK52" s="32"/>
      <c r="TL52" s="32"/>
      <c r="TM52" s="32"/>
      <c r="TN52" s="32"/>
      <c r="TO52" s="32"/>
      <c r="TP52" s="32"/>
      <c r="TQ52" s="32"/>
      <c r="TR52" s="32"/>
      <c r="TS52" s="32"/>
      <c r="TT52" s="32"/>
      <c r="TU52" s="32"/>
      <c r="TV52" s="32"/>
      <c r="TW52" s="32"/>
      <c r="TX52" s="32"/>
      <c r="TY52" s="32"/>
      <c r="TZ52" s="32"/>
      <c r="UA52" s="32"/>
      <c r="UB52" s="32"/>
      <c r="UC52" s="32"/>
      <c r="UD52" s="32"/>
      <c r="UE52" s="32"/>
      <c r="UF52" s="32"/>
      <c r="UG52" s="32"/>
      <c r="UH52" s="32"/>
      <c r="UI52" s="32"/>
      <c r="UJ52" s="32"/>
      <c r="UK52" s="32"/>
      <c r="UL52" s="32"/>
      <c r="UM52" s="32"/>
      <c r="UN52" s="32"/>
      <c r="UO52" s="32"/>
      <c r="UP52" s="32"/>
      <c r="UQ52" s="32"/>
      <c r="UR52" s="32"/>
      <c r="US52" s="32"/>
      <c r="UT52" s="32"/>
      <c r="UU52" s="32"/>
      <c r="UV52" s="32"/>
      <c r="UW52" s="32"/>
      <c r="UX52" s="32"/>
      <c r="UY52" s="32"/>
      <c r="UZ52" s="32"/>
      <c r="VA52" s="32"/>
      <c r="VB52" s="32"/>
      <c r="VC52" s="32"/>
      <c r="VD52" s="32"/>
      <c r="VE52" s="32"/>
      <c r="VF52" s="32"/>
      <c r="VG52" s="32"/>
      <c r="VH52" s="32"/>
      <c r="VI52" s="32"/>
      <c r="VJ52" s="32"/>
      <c r="VK52" s="32"/>
      <c r="VL52" s="32"/>
      <c r="VM52" s="32"/>
      <c r="VN52" s="32"/>
      <c r="VO52" s="32"/>
      <c r="VP52" s="32"/>
      <c r="VQ52" s="32"/>
      <c r="VR52" s="32"/>
      <c r="VS52" s="32"/>
      <c r="VT52" s="32"/>
      <c r="VU52" s="32"/>
      <c r="VV52" s="32"/>
      <c r="VW52" s="32"/>
      <c r="VX52" s="32"/>
      <c r="VY52" s="32"/>
      <c r="VZ52" s="32"/>
      <c r="WA52" s="32"/>
      <c r="WB52" s="32"/>
    </row>
    <row r="53" spans="2:600" ht="79.25" customHeight="1" thickBot="1" x14ac:dyDescent="1.05">
      <c r="H53" s="1"/>
      <c r="I53" s="33"/>
      <c r="J53" s="33"/>
      <c r="K53" s="33"/>
      <c r="L53" s="33"/>
      <c r="M53" s="33"/>
      <c r="N53" s="57">
        <v>2.62</v>
      </c>
      <c r="O53" s="58"/>
      <c r="P53" s="33"/>
      <c r="Q53" s="33"/>
      <c r="R53" s="45"/>
      <c r="S53" s="57">
        <v>10.97</v>
      </c>
      <c r="T53" s="58"/>
      <c r="U53" s="33"/>
      <c r="V53" s="33"/>
      <c r="W53" s="45"/>
      <c r="X53" s="57">
        <v>12.87</v>
      </c>
      <c r="Y53" s="58"/>
      <c r="Z53" s="33"/>
      <c r="AA53" s="33"/>
      <c r="AB53" s="45"/>
      <c r="AC53" s="57">
        <v>16.11</v>
      </c>
      <c r="AD53" s="58"/>
      <c r="AE53" s="33"/>
      <c r="AF53" s="33"/>
      <c r="AG53" s="33"/>
      <c r="AH53" s="33"/>
      <c r="AI53" s="45"/>
      <c r="AJ53" s="57">
        <v>1.76</v>
      </c>
      <c r="AK53" s="58"/>
      <c r="AL53" s="33"/>
      <c r="AM53" s="33"/>
      <c r="AN53" s="45"/>
      <c r="AO53" s="57">
        <v>10.97</v>
      </c>
      <c r="AP53" s="58"/>
      <c r="AQ53" s="33"/>
      <c r="AR53" s="33"/>
      <c r="AS53" s="33"/>
      <c r="AT53" s="45"/>
      <c r="AU53" s="57">
        <v>12.87</v>
      </c>
      <c r="AV53" s="58"/>
      <c r="AW53" s="33"/>
      <c r="AX53" s="33"/>
      <c r="AY53" s="45"/>
      <c r="AZ53" s="57">
        <v>8.5399999999999991</v>
      </c>
      <c r="BA53" s="58"/>
      <c r="BB53" s="33"/>
      <c r="BC53" s="33"/>
      <c r="BD53" s="45"/>
      <c r="BE53" s="57">
        <v>14.49</v>
      </c>
      <c r="BF53" s="58"/>
      <c r="BG53" s="33"/>
      <c r="BH53" s="33"/>
      <c r="BI53" s="33"/>
      <c r="BJ53" s="33"/>
      <c r="BK53" s="50" t="s">
        <v>109</v>
      </c>
      <c r="BL53" s="52" t="s">
        <v>110</v>
      </c>
      <c r="BM53" s="48">
        <v>0.99919999999999998</v>
      </c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  <c r="EA53" s="32"/>
      <c r="EB53" s="32"/>
      <c r="EC53" s="32"/>
      <c r="ED53" s="32"/>
      <c r="EE53" s="32"/>
      <c r="EF53" s="32"/>
      <c r="EG53" s="32"/>
      <c r="EH53" s="32"/>
      <c r="EI53" s="32"/>
      <c r="EJ53" s="32"/>
      <c r="EK53" s="32"/>
      <c r="EL53" s="32"/>
      <c r="EM53" s="32"/>
      <c r="EN53" s="32"/>
      <c r="EO53" s="32"/>
      <c r="EP53" s="32"/>
      <c r="EQ53" s="32"/>
      <c r="ER53" s="32"/>
      <c r="ES53" s="32"/>
      <c r="ET53" s="32"/>
      <c r="EU53" s="32"/>
      <c r="EV53" s="32"/>
      <c r="EW53" s="32"/>
      <c r="EX53" s="32"/>
      <c r="EY53" s="32"/>
      <c r="EZ53" s="32"/>
      <c r="FA53" s="32"/>
      <c r="FB53" s="32"/>
      <c r="FC53" s="32"/>
      <c r="FD53" s="32"/>
      <c r="FE53" s="32"/>
      <c r="FF53" s="32"/>
      <c r="FG53" s="32"/>
      <c r="FH53" s="32"/>
      <c r="FI53" s="32"/>
      <c r="FJ53" s="32"/>
      <c r="FK53" s="32"/>
      <c r="FL53" s="32"/>
      <c r="FM53" s="32"/>
      <c r="FN53" s="32"/>
      <c r="FO53" s="32"/>
      <c r="FP53" s="32"/>
      <c r="FQ53" s="32"/>
      <c r="FR53" s="32"/>
      <c r="FS53" s="32"/>
      <c r="FT53" s="32"/>
      <c r="FU53" s="32"/>
      <c r="FV53" s="32"/>
      <c r="FW53" s="32"/>
      <c r="FX53" s="32"/>
      <c r="FY53" s="32"/>
      <c r="FZ53" s="32"/>
      <c r="GA53" s="32"/>
      <c r="GB53" s="32"/>
      <c r="GC53" s="32"/>
      <c r="GD53" s="32"/>
      <c r="GE53" s="32"/>
      <c r="GF53" s="32"/>
      <c r="GG53" s="32"/>
      <c r="GH53" s="32"/>
      <c r="GI53" s="32"/>
      <c r="GJ53" s="32"/>
      <c r="GK53" s="32"/>
      <c r="GL53" s="32"/>
      <c r="GM53" s="32"/>
      <c r="GN53" s="32"/>
      <c r="GO53" s="32"/>
      <c r="GP53" s="32"/>
      <c r="GQ53" s="32"/>
      <c r="GR53" s="32"/>
      <c r="GS53" s="32"/>
      <c r="GT53" s="32"/>
      <c r="GU53" s="32"/>
      <c r="GV53" s="32"/>
      <c r="GW53" s="32"/>
      <c r="GX53" s="32"/>
      <c r="GY53" s="32"/>
      <c r="GZ53" s="32"/>
      <c r="HA53" s="32"/>
      <c r="HB53" s="32"/>
      <c r="HC53" s="32"/>
      <c r="HD53" s="32"/>
      <c r="HE53" s="32"/>
      <c r="HF53" s="32"/>
      <c r="HG53" s="32"/>
      <c r="HH53" s="32"/>
      <c r="HI53" s="32"/>
      <c r="HJ53" s="32"/>
      <c r="HK53" s="32"/>
      <c r="HL53" s="32"/>
      <c r="HM53" s="32"/>
      <c r="HN53" s="32"/>
      <c r="HO53" s="32"/>
      <c r="HP53" s="32"/>
      <c r="HQ53" s="32"/>
      <c r="HR53" s="32"/>
      <c r="HS53" s="32"/>
      <c r="HT53" s="32"/>
      <c r="HU53" s="32"/>
      <c r="HV53" s="32"/>
      <c r="HW53" s="32"/>
      <c r="HX53" s="32"/>
      <c r="HY53" s="32"/>
      <c r="HZ53" s="32"/>
      <c r="IA53" s="32"/>
      <c r="IB53" s="32"/>
      <c r="IC53" s="32"/>
      <c r="ID53" s="32"/>
      <c r="IE53" s="32"/>
      <c r="IF53" s="32"/>
      <c r="IG53" s="32"/>
      <c r="IH53" s="32"/>
      <c r="II53" s="32"/>
      <c r="IJ53" s="32"/>
      <c r="IK53" s="32"/>
      <c r="IL53" s="32"/>
      <c r="IM53" s="32"/>
      <c r="IN53" s="32"/>
      <c r="IO53" s="32"/>
      <c r="IP53" s="32"/>
      <c r="IQ53" s="32"/>
      <c r="IR53" s="32"/>
      <c r="IS53" s="32"/>
      <c r="IT53" s="32"/>
      <c r="IU53" s="32"/>
      <c r="IV53" s="32"/>
      <c r="IW53" s="32"/>
      <c r="IX53" s="32"/>
      <c r="IY53" s="32"/>
      <c r="IZ53" s="32"/>
      <c r="JA53" s="32"/>
      <c r="JB53" s="32"/>
      <c r="JC53" s="32"/>
      <c r="JD53" s="32"/>
      <c r="JE53" s="32"/>
      <c r="JF53" s="32"/>
      <c r="JG53" s="32"/>
      <c r="JH53" s="32"/>
      <c r="JI53" s="32"/>
      <c r="JJ53" s="32"/>
      <c r="JK53" s="32"/>
      <c r="JL53" s="32"/>
      <c r="JM53" s="32"/>
      <c r="JN53" s="32"/>
      <c r="JO53" s="32"/>
      <c r="JP53" s="32"/>
      <c r="JQ53" s="32"/>
      <c r="JR53" s="32"/>
      <c r="JS53" s="32"/>
      <c r="JT53" s="32"/>
      <c r="JU53" s="32"/>
      <c r="JV53" s="32"/>
      <c r="JW53" s="32"/>
      <c r="JX53" s="32"/>
      <c r="JY53" s="32"/>
      <c r="JZ53" s="32"/>
      <c r="KA53" s="32"/>
      <c r="KB53" s="32"/>
      <c r="KC53" s="32"/>
      <c r="KD53" s="32"/>
      <c r="KE53" s="32"/>
      <c r="KF53" s="32"/>
      <c r="KG53" s="32"/>
      <c r="KH53" s="32"/>
      <c r="KI53" s="32"/>
      <c r="KJ53" s="32"/>
      <c r="KK53" s="32"/>
      <c r="KL53" s="32"/>
      <c r="KM53" s="32"/>
      <c r="KN53" s="32"/>
      <c r="KO53" s="32"/>
      <c r="KP53" s="32"/>
      <c r="KQ53" s="32"/>
      <c r="KR53" s="32"/>
      <c r="KS53" s="32"/>
      <c r="KT53" s="32"/>
      <c r="KU53" s="32"/>
      <c r="KV53" s="32"/>
      <c r="KW53" s="32"/>
      <c r="KX53" s="32"/>
      <c r="KY53" s="32"/>
      <c r="KZ53" s="32"/>
      <c r="LA53" s="32"/>
      <c r="LB53" s="32"/>
      <c r="LC53" s="32"/>
      <c r="LD53" s="32"/>
      <c r="LE53" s="32"/>
      <c r="LF53" s="32"/>
      <c r="LG53" s="32"/>
      <c r="LH53" s="32"/>
      <c r="LI53" s="32"/>
      <c r="LJ53" s="32"/>
      <c r="LK53" s="32"/>
      <c r="LL53" s="32"/>
      <c r="LM53" s="32"/>
      <c r="LN53" s="32"/>
      <c r="LO53" s="32"/>
      <c r="LP53" s="32"/>
      <c r="LQ53" s="32"/>
      <c r="LR53" s="32"/>
      <c r="LS53" s="32"/>
      <c r="LT53" s="32"/>
      <c r="LU53" s="32"/>
      <c r="LV53" s="32"/>
      <c r="LW53" s="32"/>
      <c r="LX53" s="32"/>
      <c r="LY53" s="32"/>
      <c r="LZ53" s="32"/>
      <c r="MA53" s="32"/>
      <c r="MB53" s="32"/>
      <c r="MC53" s="32"/>
      <c r="MD53" s="32"/>
      <c r="ME53" s="32"/>
      <c r="MF53" s="32"/>
      <c r="MG53" s="32"/>
      <c r="MH53" s="32"/>
      <c r="MI53" s="32"/>
      <c r="MJ53" s="32"/>
      <c r="MK53" s="32"/>
      <c r="ML53" s="32"/>
      <c r="MM53" s="32"/>
      <c r="MN53" s="32"/>
      <c r="MO53" s="32"/>
      <c r="MP53" s="32"/>
      <c r="MQ53" s="32"/>
      <c r="MR53" s="32"/>
      <c r="MS53" s="32"/>
      <c r="MT53" s="32"/>
      <c r="MU53" s="32"/>
      <c r="MV53" s="32"/>
      <c r="MW53" s="32"/>
      <c r="MX53" s="32"/>
      <c r="MY53" s="32"/>
      <c r="MZ53" s="32"/>
      <c r="NA53" s="32"/>
      <c r="NB53" s="32"/>
      <c r="NC53" s="32"/>
      <c r="ND53" s="32"/>
      <c r="NE53" s="32"/>
      <c r="NF53" s="32"/>
      <c r="NG53" s="32"/>
      <c r="NH53" s="32"/>
      <c r="NI53" s="32"/>
      <c r="NJ53" s="32"/>
      <c r="NK53" s="32"/>
      <c r="NL53" s="32"/>
      <c r="NM53" s="32"/>
      <c r="NN53" s="32"/>
      <c r="NO53" s="32"/>
      <c r="NP53" s="32"/>
      <c r="NQ53" s="32"/>
      <c r="NR53" s="32"/>
      <c r="NS53" s="32"/>
      <c r="NT53" s="32"/>
      <c r="NU53" s="32"/>
      <c r="NV53" s="32"/>
      <c r="NW53" s="32"/>
      <c r="NX53" s="32"/>
      <c r="NY53" s="32"/>
      <c r="NZ53" s="32"/>
      <c r="OA53" s="32"/>
      <c r="OB53" s="32"/>
      <c r="OC53" s="32"/>
      <c r="OD53" s="32"/>
      <c r="OE53" s="32"/>
      <c r="OF53" s="32"/>
      <c r="OG53" s="32"/>
      <c r="OH53" s="32"/>
      <c r="OI53" s="32"/>
      <c r="OJ53" s="32"/>
      <c r="OK53" s="32"/>
      <c r="OL53" s="32"/>
      <c r="OM53" s="32"/>
      <c r="ON53" s="32"/>
      <c r="OO53" s="32"/>
      <c r="OP53" s="32"/>
      <c r="OQ53" s="32"/>
      <c r="OR53" s="32"/>
      <c r="OS53" s="32"/>
      <c r="OT53" s="32"/>
      <c r="OU53" s="32"/>
      <c r="OV53" s="32"/>
      <c r="OW53" s="32"/>
      <c r="OX53" s="32"/>
      <c r="OY53" s="32"/>
      <c r="OZ53" s="32"/>
      <c r="PA53" s="32"/>
      <c r="PB53" s="32"/>
      <c r="PC53" s="32"/>
      <c r="PD53" s="32"/>
      <c r="PE53" s="32"/>
      <c r="PF53" s="32"/>
      <c r="PG53" s="32"/>
      <c r="PH53" s="32"/>
      <c r="PI53" s="32"/>
      <c r="PJ53" s="32"/>
      <c r="PK53" s="32"/>
      <c r="PL53" s="32"/>
      <c r="PM53" s="32"/>
      <c r="PN53" s="32"/>
      <c r="PO53" s="32"/>
      <c r="PP53" s="32"/>
      <c r="PQ53" s="32"/>
      <c r="PR53" s="32"/>
      <c r="PS53" s="32"/>
      <c r="PT53" s="32"/>
      <c r="PU53" s="32"/>
      <c r="PV53" s="32"/>
      <c r="PW53" s="32"/>
      <c r="PX53" s="32"/>
      <c r="PY53" s="32"/>
      <c r="PZ53" s="32"/>
      <c r="QA53" s="32"/>
      <c r="QB53" s="32"/>
      <c r="QC53" s="32"/>
      <c r="QD53" s="32"/>
      <c r="QE53" s="32"/>
      <c r="QF53" s="32"/>
      <c r="QG53" s="32"/>
      <c r="QH53" s="32"/>
      <c r="QI53" s="32"/>
      <c r="QJ53" s="32"/>
      <c r="QK53" s="32"/>
      <c r="QL53" s="32"/>
      <c r="QM53" s="32"/>
      <c r="QN53" s="32"/>
      <c r="QO53" s="32"/>
      <c r="QP53" s="32"/>
      <c r="QQ53" s="32"/>
      <c r="QR53" s="32"/>
      <c r="QS53" s="32"/>
      <c r="QT53" s="32"/>
      <c r="QU53" s="32"/>
      <c r="QV53" s="32"/>
      <c r="QW53" s="32"/>
      <c r="QX53" s="32"/>
      <c r="QY53" s="32"/>
      <c r="QZ53" s="32"/>
      <c r="RA53" s="32"/>
      <c r="RB53" s="32"/>
      <c r="RC53" s="32"/>
      <c r="RD53" s="32"/>
      <c r="RE53" s="32"/>
      <c r="RF53" s="32"/>
      <c r="RG53" s="32"/>
      <c r="RH53" s="32"/>
      <c r="RI53" s="32"/>
      <c r="RJ53" s="32"/>
      <c r="RK53" s="32"/>
      <c r="RL53" s="32"/>
      <c r="RM53" s="32"/>
      <c r="RN53" s="32"/>
      <c r="RO53" s="32"/>
      <c r="RP53" s="32"/>
      <c r="RQ53" s="32"/>
      <c r="RR53" s="32"/>
      <c r="RS53" s="32"/>
      <c r="RT53" s="32"/>
      <c r="RU53" s="32"/>
      <c r="RV53" s="32"/>
      <c r="RW53" s="32"/>
      <c r="RX53" s="32"/>
      <c r="RY53" s="32"/>
      <c r="RZ53" s="32"/>
      <c r="SA53" s="32"/>
      <c r="SB53" s="32"/>
      <c r="SC53" s="32"/>
      <c r="SD53" s="32"/>
      <c r="SE53" s="32"/>
      <c r="SF53" s="32"/>
      <c r="SG53" s="32"/>
      <c r="SH53" s="32"/>
      <c r="SI53" s="32"/>
      <c r="SJ53" s="32"/>
      <c r="SK53" s="32"/>
      <c r="SL53" s="32"/>
      <c r="SM53" s="32"/>
      <c r="SN53" s="32"/>
      <c r="SO53" s="32"/>
      <c r="SP53" s="32"/>
      <c r="SQ53" s="32"/>
      <c r="SR53" s="32"/>
      <c r="SS53" s="32"/>
      <c r="ST53" s="32"/>
      <c r="SU53" s="32"/>
      <c r="SV53" s="32"/>
      <c r="SW53" s="32"/>
      <c r="SX53" s="32"/>
      <c r="SY53" s="32"/>
      <c r="SZ53" s="32"/>
      <c r="TA53" s="32"/>
      <c r="TB53" s="32"/>
      <c r="TC53" s="32"/>
      <c r="TD53" s="32"/>
      <c r="TE53" s="32"/>
      <c r="TF53" s="32"/>
      <c r="TG53" s="32"/>
      <c r="TH53" s="32"/>
      <c r="TI53" s="32"/>
      <c r="TJ53" s="32"/>
      <c r="TK53" s="32"/>
      <c r="TL53" s="32"/>
      <c r="TM53" s="32"/>
      <c r="TN53" s="32"/>
      <c r="TO53" s="32"/>
      <c r="TP53" s="32"/>
      <c r="TQ53" s="32"/>
      <c r="TR53" s="32"/>
      <c r="TS53" s="32"/>
      <c r="TT53" s="32"/>
      <c r="TU53" s="32"/>
      <c r="TV53" s="32"/>
      <c r="TW53" s="32"/>
      <c r="TX53" s="32"/>
      <c r="TY53" s="32"/>
      <c r="TZ53" s="32"/>
      <c r="UA53" s="32"/>
      <c r="UB53" s="32"/>
      <c r="UC53" s="32"/>
      <c r="UD53" s="32"/>
      <c r="UE53" s="32"/>
      <c r="UF53" s="32"/>
      <c r="UG53" s="32"/>
      <c r="UH53" s="32"/>
      <c r="UI53" s="32"/>
      <c r="UJ53" s="32"/>
      <c r="UK53" s="32"/>
      <c r="UL53" s="32"/>
      <c r="UM53" s="32"/>
      <c r="UN53" s="32"/>
      <c r="UO53" s="32"/>
      <c r="UP53" s="32"/>
      <c r="UQ53" s="32"/>
      <c r="UR53" s="32"/>
      <c r="US53" s="32"/>
      <c r="UT53" s="32"/>
      <c r="UU53" s="32"/>
      <c r="UV53" s="32"/>
      <c r="UW53" s="32"/>
      <c r="UX53" s="32"/>
      <c r="UY53" s="32"/>
      <c r="UZ53" s="32"/>
      <c r="VA53" s="32"/>
      <c r="VB53" s="32"/>
      <c r="VC53" s="32"/>
      <c r="VD53" s="32"/>
      <c r="VE53" s="32"/>
      <c r="VF53" s="32"/>
      <c r="VG53" s="32"/>
      <c r="VH53" s="32"/>
      <c r="VI53" s="32"/>
      <c r="VJ53" s="32"/>
      <c r="VK53" s="32"/>
      <c r="VL53" s="32"/>
      <c r="VM53" s="32"/>
      <c r="VN53" s="32"/>
      <c r="VO53" s="32"/>
      <c r="VP53" s="32"/>
      <c r="VQ53" s="32"/>
      <c r="VR53" s="32"/>
      <c r="VS53" s="32"/>
      <c r="VT53" s="32"/>
      <c r="VU53" s="32"/>
      <c r="VV53" s="32"/>
      <c r="VW53" s="32"/>
      <c r="VX53" s="32"/>
      <c r="VY53" s="32"/>
      <c r="VZ53" s="32"/>
      <c r="WA53" s="32"/>
      <c r="WB53" s="32"/>
    </row>
    <row r="54" spans="2:600" ht="35.15" customHeight="1" x14ac:dyDescent="0.35">
      <c r="H54" s="1"/>
    </row>
    <row r="55" spans="2:600" ht="35.15" customHeight="1" x14ac:dyDescent="0.35">
      <c r="B55" s="5" t="s">
        <v>22</v>
      </c>
      <c r="F55" s="5" t="s">
        <v>23</v>
      </c>
      <c r="H55" s="1"/>
    </row>
    <row r="56" spans="2:600" ht="35.15" customHeight="1" x14ac:dyDescent="0.35">
      <c r="H56" s="1"/>
    </row>
    <row r="57" spans="2:600" ht="35.15" customHeight="1" x14ac:dyDescent="0.35">
      <c r="H57" s="1"/>
    </row>
    <row r="58" spans="2:600" ht="35.15" customHeight="1" x14ac:dyDescent="0.35">
      <c r="H58" s="1"/>
    </row>
    <row r="59" spans="2:600" ht="35.15" customHeight="1" x14ac:dyDescent="0.35">
      <c r="H59" s="1"/>
    </row>
    <row r="60" spans="2:600" ht="35.15" customHeight="1" x14ac:dyDescent="0.35">
      <c r="B60" s="5" t="s">
        <v>24</v>
      </c>
      <c r="E60" s="5"/>
      <c r="F60" s="5" t="s">
        <v>25</v>
      </c>
      <c r="H60" s="1"/>
    </row>
    <row r="61" spans="2:600" ht="35.15" customHeight="1" x14ac:dyDescent="0.35">
      <c r="H61" s="1"/>
    </row>
    <row r="62" spans="2:600" ht="35.15" customHeight="1" x14ac:dyDescent="0.35">
      <c r="H62" s="1"/>
    </row>
    <row r="63" spans="2:600" ht="35.15" customHeight="1" x14ac:dyDescent="0.35">
      <c r="H63" s="1"/>
    </row>
    <row r="64" spans="2:600" ht="35.15" customHeight="1" x14ac:dyDescent="0.35">
      <c r="H64" s="1"/>
    </row>
    <row r="65" spans="1:600" ht="35.15" customHeight="1" x14ac:dyDescent="0.35">
      <c r="A65" s="34"/>
      <c r="B65" s="35" t="s">
        <v>26</v>
      </c>
      <c r="C65" s="34"/>
      <c r="D65" s="34"/>
      <c r="E65" s="34"/>
      <c r="F65" s="35" t="s">
        <v>27</v>
      </c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</row>
    <row r="66" spans="1:600" ht="35.15" customHeight="1" x14ac:dyDescent="0.35">
      <c r="H66" s="1"/>
    </row>
    <row r="67" spans="1:600" ht="35.15" customHeight="1" x14ac:dyDescent="0.35">
      <c r="H67" s="1"/>
    </row>
    <row r="68" spans="1:600" ht="35.15" customHeight="1" x14ac:dyDescent="0.35">
      <c r="H68" s="1"/>
    </row>
    <row r="69" spans="1:600" ht="35.15" customHeight="1" x14ac:dyDescent="0.35">
      <c r="H69" s="1"/>
    </row>
    <row r="70" spans="1:600" ht="35.15" customHeight="1" x14ac:dyDescent="0.35">
      <c r="B70" s="5" t="s">
        <v>28</v>
      </c>
      <c r="F70" s="5" t="s">
        <v>29</v>
      </c>
      <c r="H70" s="1"/>
    </row>
    <row r="71" spans="1:600" ht="35.15" customHeight="1" x14ac:dyDescent="0.35">
      <c r="H71" s="1"/>
    </row>
    <row r="72" spans="1:600" ht="35.15" customHeight="1" x14ac:dyDescent="0.35">
      <c r="H72" s="1"/>
    </row>
    <row r="73" spans="1:600" ht="35.15" customHeight="1" x14ac:dyDescent="0.35">
      <c r="H73" s="1"/>
    </row>
    <row r="74" spans="1:600" ht="35.15" customHeight="1" x14ac:dyDescent="0.35">
      <c r="H74" s="1"/>
    </row>
    <row r="75" spans="1:600" ht="35.15" customHeight="1" x14ac:dyDescent="0.35">
      <c r="B75" s="5" t="s">
        <v>30</v>
      </c>
      <c r="F75" s="5" t="s">
        <v>31</v>
      </c>
      <c r="H75" s="1"/>
    </row>
    <row r="76" spans="1:600" ht="35.15" customHeight="1" x14ac:dyDescent="0.35">
      <c r="H76" s="1"/>
    </row>
    <row r="77" spans="1:600" ht="35.15" customHeight="1" x14ac:dyDescent="0.35">
      <c r="H77" s="1"/>
    </row>
    <row r="78" spans="1:600" ht="35.15" customHeight="1" x14ac:dyDescent="0.35">
      <c r="H78" s="1"/>
    </row>
    <row r="79" spans="1:600" ht="35.15" customHeight="1" x14ac:dyDescent="0.35">
      <c r="H79" s="1"/>
    </row>
    <row r="80" spans="1:600" ht="35.15" customHeight="1" x14ac:dyDescent="0.35">
      <c r="B80" s="5" t="s">
        <v>32</v>
      </c>
      <c r="F80" s="5" t="s">
        <v>33</v>
      </c>
      <c r="H80" s="1"/>
    </row>
    <row r="81" spans="2:58" ht="35.15" customHeight="1" x14ac:dyDescent="0.35">
      <c r="H81" s="1"/>
    </row>
    <row r="82" spans="2:58" ht="35.15" customHeight="1" x14ac:dyDescent="0.35">
      <c r="H82" s="1"/>
    </row>
    <row r="83" spans="2:58" ht="35.15" customHeight="1" x14ac:dyDescent="0.35">
      <c r="H83" s="1"/>
    </row>
    <row r="84" spans="2:58" ht="35.15" customHeight="1" x14ac:dyDescent="0.35">
      <c r="H84" s="1"/>
    </row>
    <row r="85" spans="2:58" ht="35.15" customHeight="1" x14ac:dyDescent="0.35">
      <c r="B85" s="5" t="s">
        <v>34</v>
      </c>
      <c r="F85" s="5" t="s">
        <v>35</v>
      </c>
      <c r="H85" s="1"/>
    </row>
    <row r="86" spans="2:58" ht="35.15" customHeight="1" x14ac:dyDescent="0.35">
      <c r="H86" s="1"/>
    </row>
    <row r="87" spans="2:58" ht="35.15" customHeight="1" x14ac:dyDescent="0.35">
      <c r="H87" s="1"/>
    </row>
    <row r="88" spans="2:58" ht="35.15" customHeight="1" x14ac:dyDescent="0.35">
      <c r="H88" s="1"/>
    </row>
    <row r="89" spans="2:58" ht="35.15" customHeight="1" x14ac:dyDescent="0.35">
      <c r="H89" s="1"/>
    </row>
    <row r="90" spans="2:58" ht="35.15" customHeight="1" x14ac:dyDescent="0.35">
      <c r="B90" s="5" t="s">
        <v>36</v>
      </c>
      <c r="F90" s="5" t="s">
        <v>37</v>
      </c>
      <c r="H90" s="1"/>
    </row>
    <row r="91" spans="2:58" ht="35.15" customHeight="1" x14ac:dyDescent="0.35">
      <c r="H91" s="1"/>
    </row>
    <row r="92" spans="2:58" ht="35.15" customHeight="1" x14ac:dyDescent="0.35">
      <c r="H92" s="1"/>
    </row>
    <row r="93" spans="2:58" ht="35.15" customHeight="1" x14ac:dyDescent="0.35">
      <c r="H93" s="1"/>
    </row>
    <row r="94" spans="2:58" ht="79.25" customHeight="1" x14ac:dyDescent="0.35">
      <c r="H94" s="1"/>
      <c r="I94" s="33"/>
      <c r="J94" s="33"/>
      <c r="K94" s="33"/>
      <c r="L94" s="33"/>
      <c r="M94" s="33"/>
      <c r="N94" s="33"/>
      <c r="AC94" s="14" t="s">
        <v>84</v>
      </c>
      <c r="AD94" s="15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</row>
    <row r="95" spans="2:58" ht="79.25" customHeight="1" x14ac:dyDescent="0.35">
      <c r="B95" s="5" t="s">
        <v>38</v>
      </c>
      <c r="H95" s="1"/>
      <c r="I95" s="33"/>
      <c r="J95" s="33"/>
      <c r="K95" s="33"/>
      <c r="L95" s="33"/>
      <c r="M95" s="33"/>
      <c r="N95" s="33"/>
      <c r="U95" s="14" t="s">
        <v>52</v>
      </c>
      <c r="V95" s="15"/>
      <c r="AB95" s="36"/>
      <c r="AC95" s="13" t="s">
        <v>39</v>
      </c>
      <c r="AD95" s="12" t="s">
        <v>113</v>
      </c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</row>
    <row r="96" spans="2:58" ht="35.15" customHeight="1" x14ac:dyDescent="0.35">
      <c r="H96" s="1"/>
      <c r="U96" s="13" t="s">
        <v>39</v>
      </c>
      <c r="V96" s="12" t="s">
        <v>68</v>
      </c>
      <c r="AB96" s="36"/>
      <c r="AC96" s="13" t="s">
        <v>40</v>
      </c>
      <c r="AD96" s="12" t="s">
        <v>114</v>
      </c>
      <c r="AP96" s="14" t="s">
        <v>47</v>
      </c>
      <c r="AQ96" s="15"/>
    </row>
    <row r="97" spans="8:70" ht="35.15" customHeight="1" x14ac:dyDescent="0.35">
      <c r="H97" s="1"/>
      <c r="U97" s="13" t="s">
        <v>40</v>
      </c>
      <c r="V97" s="12" t="s">
        <v>61</v>
      </c>
      <c r="AB97" s="36"/>
      <c r="AC97" s="13" t="s">
        <v>41</v>
      </c>
      <c r="AD97" s="12" t="s">
        <v>45</v>
      </c>
      <c r="AH97" s="14" t="s">
        <v>85</v>
      </c>
      <c r="AI97" s="15"/>
      <c r="AO97" s="36"/>
      <c r="AP97" s="13" t="s">
        <v>39</v>
      </c>
      <c r="AQ97" s="12" t="s">
        <v>70</v>
      </c>
    </row>
    <row r="98" spans="8:70" ht="35.15" customHeight="1" x14ac:dyDescent="0.35">
      <c r="H98" s="1"/>
      <c r="U98" s="13" t="s">
        <v>41</v>
      </c>
      <c r="V98" s="12" t="s">
        <v>45</v>
      </c>
      <c r="AB98" s="36"/>
      <c r="AC98" s="13" t="s">
        <v>42</v>
      </c>
      <c r="AD98" s="12">
        <v>1</v>
      </c>
      <c r="AH98" s="13" t="s">
        <v>39</v>
      </c>
      <c r="AI98" s="12" t="s">
        <v>115</v>
      </c>
      <c r="AO98" s="36"/>
      <c r="AP98" s="13" t="s">
        <v>40</v>
      </c>
      <c r="AQ98" s="12" t="s">
        <v>63</v>
      </c>
    </row>
    <row r="99" spans="8:70" ht="35.15" customHeight="1" x14ac:dyDescent="0.35">
      <c r="H99" s="1"/>
      <c r="U99" s="13" t="s">
        <v>42</v>
      </c>
      <c r="V99" s="12" t="s">
        <v>53</v>
      </c>
      <c r="AB99" s="36"/>
      <c r="AC99" s="13" t="s">
        <v>43</v>
      </c>
      <c r="AD99" s="12">
        <v>1</v>
      </c>
      <c r="AH99" s="13" t="s">
        <v>40</v>
      </c>
      <c r="AI99" s="12" t="s">
        <v>116</v>
      </c>
      <c r="AO99" s="36"/>
      <c r="AP99" s="13" t="s">
        <v>41</v>
      </c>
      <c r="AQ99" s="12" t="s">
        <v>45</v>
      </c>
    </row>
    <row r="100" spans="8:70" ht="35.15" customHeight="1" x14ac:dyDescent="0.35">
      <c r="H100" s="1"/>
      <c r="U100" s="13" t="s">
        <v>43</v>
      </c>
      <c r="V100" s="12" t="s">
        <v>46</v>
      </c>
      <c r="AB100" s="36"/>
      <c r="AC100" s="13" t="s">
        <v>44</v>
      </c>
      <c r="AD100" s="12">
        <v>3</v>
      </c>
      <c r="AH100" s="13" t="s">
        <v>41</v>
      </c>
      <c r="AI100" s="12" t="s">
        <v>45</v>
      </c>
      <c r="AO100" s="36"/>
      <c r="AP100" s="13" t="s">
        <v>42</v>
      </c>
      <c r="AQ100" s="12">
        <v>1</v>
      </c>
    </row>
    <row r="101" spans="8:70" ht="35.15" customHeight="1" x14ac:dyDescent="0.35">
      <c r="H101" s="1"/>
      <c r="U101" s="13" t="s">
        <v>44</v>
      </c>
      <c r="V101" s="12">
        <v>3</v>
      </c>
      <c r="AB101" s="36"/>
      <c r="AC101" s="37"/>
      <c r="AH101" s="13" t="s">
        <v>42</v>
      </c>
      <c r="AI101" s="12">
        <v>1</v>
      </c>
      <c r="AO101" s="36"/>
      <c r="AP101" s="13" t="s">
        <v>43</v>
      </c>
      <c r="AQ101" s="12">
        <v>1</v>
      </c>
    </row>
    <row r="102" spans="8:70" ht="35.15" customHeight="1" x14ac:dyDescent="0.35">
      <c r="H102" s="1"/>
      <c r="AH102" s="13" t="s">
        <v>43</v>
      </c>
      <c r="AI102" s="12">
        <v>1</v>
      </c>
      <c r="AO102" s="36"/>
      <c r="AP102" s="13" t="s">
        <v>44</v>
      </c>
      <c r="AQ102" s="12">
        <v>3</v>
      </c>
    </row>
    <row r="103" spans="8:70" ht="35.15" customHeight="1" x14ac:dyDescent="0.35">
      <c r="H103" s="1"/>
      <c r="AH103" s="13" t="s">
        <v>44</v>
      </c>
      <c r="AI103" s="12">
        <v>3</v>
      </c>
      <c r="AO103" s="36"/>
      <c r="AP103" s="37"/>
    </row>
    <row r="104" spans="8:70" ht="35.15" customHeight="1" x14ac:dyDescent="0.35">
      <c r="H104" s="1"/>
    </row>
    <row r="105" spans="8:70" ht="35.15" customHeight="1" x14ac:dyDescent="0.35">
      <c r="H105" s="1"/>
    </row>
    <row r="106" spans="8:70" ht="35.15" customHeight="1" x14ac:dyDescent="0.35">
      <c r="H106" s="1"/>
    </row>
    <row r="107" spans="8:70" ht="79.25" customHeight="1" thickBot="1" x14ac:dyDescent="0.4">
      <c r="H107" s="1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59">
        <v>3352</v>
      </c>
      <c r="X107" s="60"/>
      <c r="Y107" s="60"/>
      <c r="Z107" s="60"/>
      <c r="AA107" s="60"/>
      <c r="AB107" s="61"/>
      <c r="AC107" s="33"/>
      <c r="AD107" s="33"/>
      <c r="AE107" s="59">
        <v>8520</v>
      </c>
      <c r="AF107" s="60"/>
      <c r="AG107" s="61"/>
      <c r="AH107" s="33"/>
      <c r="AI107" s="33"/>
      <c r="AJ107" s="59">
        <v>57960</v>
      </c>
      <c r="AK107" s="60"/>
      <c r="AL107" s="60"/>
      <c r="AM107" s="60"/>
      <c r="AN107" s="60"/>
      <c r="AO107" s="61"/>
      <c r="AP107" s="33"/>
      <c r="AQ107" s="33"/>
      <c r="AR107" s="46"/>
      <c r="AS107" s="46"/>
      <c r="AT107" s="46"/>
      <c r="AU107" s="46"/>
      <c r="AV107" s="47" t="s">
        <v>108</v>
      </c>
      <c r="AW107" s="51" t="s">
        <v>120</v>
      </c>
      <c r="AX107" s="49" t="s">
        <v>111</v>
      </c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</row>
    <row r="108" spans="8:70" ht="79.25" customHeight="1" thickBot="1" x14ac:dyDescent="1.05">
      <c r="H108" s="1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57">
        <v>1.76</v>
      </c>
      <c r="V108" s="58"/>
      <c r="W108" s="33"/>
      <c r="X108" s="33"/>
      <c r="Y108" s="33"/>
      <c r="Z108" s="33"/>
      <c r="AA108" s="33"/>
      <c r="AB108" s="45"/>
      <c r="AC108" s="57">
        <v>4.1900000000000004</v>
      </c>
      <c r="AD108" s="58"/>
      <c r="AE108" s="33"/>
      <c r="AF108" s="33"/>
      <c r="AG108" s="45"/>
      <c r="AH108" s="57">
        <v>4.26</v>
      </c>
      <c r="AI108" s="58"/>
      <c r="AJ108" s="33"/>
      <c r="AK108" s="33"/>
      <c r="AL108" s="33"/>
      <c r="AM108" s="33"/>
      <c r="AN108" s="33"/>
      <c r="AO108" s="45"/>
      <c r="AP108" s="57">
        <v>14.49</v>
      </c>
      <c r="AQ108" s="58"/>
      <c r="AR108" s="33"/>
      <c r="AS108" s="33"/>
      <c r="AT108" s="33"/>
      <c r="AU108" s="33"/>
      <c r="AV108" s="50" t="s">
        <v>109</v>
      </c>
      <c r="AW108" s="52" t="s">
        <v>121</v>
      </c>
      <c r="AX108" s="48">
        <v>0.99960000000000004</v>
      </c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</row>
    <row r="109" spans="8:70" ht="35.15" customHeight="1" x14ac:dyDescent="0.35">
      <c r="H109" s="1"/>
    </row>
    <row r="110" spans="8:70" ht="35.15" customHeight="1" x14ac:dyDescent="0.35">
      <c r="H110" s="1"/>
    </row>
    <row r="111" spans="8:70" ht="35.15" customHeight="1" x14ac:dyDescent="0.35">
      <c r="H111" s="1"/>
    </row>
    <row r="112" spans="8:70" ht="35.15" customHeight="1" x14ac:dyDescent="0.35">
      <c r="H112" s="1"/>
    </row>
    <row r="113" spans="8:8" ht="35.15" customHeight="1" x14ac:dyDescent="0.35">
      <c r="H113" s="1"/>
    </row>
    <row r="114" spans="8:8" ht="35.15" customHeight="1" x14ac:dyDescent="0.35">
      <c r="H114" s="1"/>
    </row>
    <row r="115" spans="8:8" ht="35.15" customHeight="1" x14ac:dyDescent="0.35">
      <c r="H115" s="1"/>
    </row>
    <row r="116" spans="8:8" ht="35.15" customHeight="1" x14ac:dyDescent="0.35">
      <c r="H116" s="1"/>
    </row>
    <row r="117" spans="8:8" ht="35.15" customHeight="1" x14ac:dyDescent="0.35">
      <c r="H117" s="1"/>
    </row>
    <row r="118" spans="8:8" ht="35.15" customHeight="1" x14ac:dyDescent="0.35">
      <c r="H118" s="1"/>
    </row>
    <row r="119" spans="8:8" ht="35.15" customHeight="1" x14ac:dyDescent="0.35">
      <c r="H119" s="1"/>
    </row>
    <row r="120" spans="8:8" ht="35.15" customHeight="1" x14ac:dyDescent="0.35">
      <c r="H120" s="1"/>
    </row>
    <row r="121" spans="8:8" ht="35.15" customHeight="1" x14ac:dyDescent="0.35">
      <c r="H121" s="1"/>
    </row>
    <row r="122" spans="8:8" ht="35.15" customHeight="1" x14ac:dyDescent="0.35">
      <c r="H122" s="1"/>
    </row>
    <row r="123" spans="8:8" ht="35.15" customHeight="1" x14ac:dyDescent="0.35">
      <c r="H123" s="1"/>
    </row>
    <row r="124" spans="8:8" ht="35.15" customHeight="1" x14ac:dyDescent="0.35">
      <c r="H124" s="1"/>
    </row>
    <row r="125" spans="8:8" ht="35.15" customHeight="1" x14ac:dyDescent="0.35">
      <c r="H125" s="1"/>
    </row>
    <row r="126" spans="8:8" ht="35.15" customHeight="1" x14ac:dyDescent="0.35">
      <c r="H126" s="1"/>
    </row>
    <row r="127" spans="8:8" ht="35.15" customHeight="1" x14ac:dyDescent="0.35">
      <c r="H127" s="1"/>
    </row>
    <row r="128" spans="8:8" ht="35.15" customHeight="1" x14ac:dyDescent="0.35">
      <c r="H128" s="1"/>
    </row>
    <row r="129" spans="1:600" ht="35.15" customHeight="1" x14ac:dyDescent="0.35">
      <c r="H129" s="1"/>
    </row>
    <row r="130" spans="1:600" ht="35.15" customHeight="1" x14ac:dyDescent="0.3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</row>
    <row r="131" spans="1:600" ht="35.15" customHeight="1" x14ac:dyDescent="0.35">
      <c r="H131" s="1"/>
    </row>
    <row r="132" spans="1:600" ht="35.15" customHeight="1" x14ac:dyDescent="0.35">
      <c r="H132" s="1"/>
    </row>
    <row r="133" spans="1:600" ht="35.15" customHeight="1" x14ac:dyDescent="0.35">
      <c r="H133" s="1"/>
    </row>
    <row r="134" spans="1:600" ht="35.15" customHeight="1" x14ac:dyDescent="0.35">
      <c r="H134" s="1"/>
    </row>
    <row r="135" spans="1:600" ht="35.15" customHeight="1" x14ac:dyDescent="0.35">
      <c r="H135" s="1"/>
    </row>
    <row r="136" spans="1:600" ht="35.15" customHeight="1" x14ac:dyDescent="0.35">
      <c r="H136" s="1"/>
    </row>
    <row r="137" spans="1:600" ht="35.15" customHeight="1" x14ac:dyDescent="0.35">
      <c r="H137" s="1"/>
    </row>
    <row r="138" spans="1:600" ht="35.15" customHeight="1" x14ac:dyDescent="0.35">
      <c r="H138" s="1"/>
    </row>
    <row r="139" spans="1:600" ht="35.15" customHeight="1" x14ac:dyDescent="0.35">
      <c r="H139" s="1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</row>
    <row r="140" spans="1:600" ht="35.15" customHeight="1" x14ac:dyDescent="0.35">
      <c r="H140" s="1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</row>
    <row r="141" spans="1:600" ht="35.15" customHeight="1" x14ac:dyDescent="0.35">
      <c r="H141" s="1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36"/>
      <c r="BK141" s="4"/>
      <c r="BL141" s="4"/>
      <c r="BM141" s="4"/>
      <c r="BN141" s="4"/>
      <c r="BO141" s="4"/>
      <c r="BP141" s="4"/>
      <c r="BQ141" s="4"/>
      <c r="BR141" s="4"/>
      <c r="BS141" s="4"/>
    </row>
    <row r="142" spans="1:600" ht="35.15" customHeight="1" x14ac:dyDescent="0.35">
      <c r="H142" s="1"/>
      <c r="AR142" s="4"/>
      <c r="AS142" s="36"/>
      <c r="AT142" s="4"/>
      <c r="AU142" s="4"/>
      <c r="AV142" s="4"/>
      <c r="AW142" s="4"/>
      <c r="AX142" s="36"/>
      <c r="AY142" s="4"/>
      <c r="AZ142" s="4"/>
      <c r="BA142" s="4"/>
      <c r="BB142" s="4"/>
      <c r="BC142" s="4"/>
      <c r="BD142" s="4"/>
      <c r="BE142" s="36"/>
      <c r="BF142" s="4"/>
      <c r="BG142" s="4"/>
      <c r="BH142" s="4"/>
      <c r="BI142" s="4"/>
      <c r="BJ142" s="36"/>
      <c r="BK142" s="37"/>
      <c r="BL142" s="4"/>
      <c r="BM142" s="4"/>
      <c r="BN142" s="4"/>
      <c r="BO142" s="4"/>
      <c r="BP142" s="4"/>
      <c r="BQ142" s="4"/>
      <c r="BR142" s="4"/>
      <c r="BS142" s="4"/>
    </row>
    <row r="143" spans="1:600" ht="35.15" customHeight="1" x14ac:dyDescent="0.35">
      <c r="H143" s="1"/>
      <c r="AR143" s="4"/>
      <c r="AS143" s="36"/>
      <c r="AT143" s="37"/>
      <c r="AU143" s="4"/>
      <c r="AV143" s="4"/>
      <c r="AW143" s="4"/>
      <c r="AX143" s="36"/>
      <c r="AY143" s="37"/>
      <c r="AZ143" s="4"/>
      <c r="BA143" s="4"/>
      <c r="BB143" s="4"/>
      <c r="BC143" s="4"/>
      <c r="BD143" s="4"/>
      <c r="BE143" s="36"/>
      <c r="BF143" s="37"/>
      <c r="BG143" s="4"/>
      <c r="BH143" s="4"/>
      <c r="BI143" s="4"/>
      <c r="BJ143" s="36"/>
      <c r="BK143" s="37"/>
      <c r="BL143" s="4"/>
      <c r="BM143" s="4"/>
      <c r="BN143" s="4"/>
      <c r="BO143" s="4"/>
      <c r="BP143" s="4"/>
      <c r="BQ143" s="4"/>
      <c r="BR143" s="4"/>
      <c r="BS143" s="4"/>
    </row>
    <row r="144" spans="1:600" ht="35.15" customHeight="1" x14ac:dyDescent="0.35">
      <c r="H144" s="1"/>
      <c r="AR144" s="4"/>
      <c r="AS144" s="36"/>
      <c r="AT144" s="37"/>
      <c r="AU144" s="4"/>
      <c r="AV144" s="4"/>
      <c r="AW144" s="4"/>
      <c r="AX144" s="36"/>
      <c r="AY144" s="37"/>
      <c r="AZ144" s="4"/>
      <c r="BA144" s="4"/>
      <c r="BB144" s="4"/>
      <c r="BC144" s="4"/>
      <c r="BD144" s="4"/>
      <c r="BE144" s="36"/>
      <c r="BF144" s="37"/>
      <c r="BG144" s="4"/>
      <c r="BH144" s="4"/>
      <c r="BI144" s="4"/>
      <c r="BJ144" s="36"/>
      <c r="BK144" s="37"/>
      <c r="BL144" s="4"/>
      <c r="BM144" s="4"/>
      <c r="BN144" s="4"/>
      <c r="BO144" s="4"/>
      <c r="BP144" s="4"/>
      <c r="BQ144" s="4"/>
      <c r="BR144" s="4"/>
      <c r="BS144" s="4"/>
    </row>
    <row r="145" spans="8:90" ht="35.15" customHeight="1" x14ac:dyDescent="0.35">
      <c r="H145" s="1"/>
      <c r="AR145" s="4"/>
      <c r="AS145" s="36"/>
      <c r="AT145" s="37"/>
      <c r="AU145" s="4"/>
      <c r="AV145" s="4"/>
      <c r="AW145" s="4"/>
      <c r="AX145" s="36"/>
      <c r="AY145" s="37"/>
      <c r="AZ145" s="4"/>
      <c r="BA145" s="4"/>
      <c r="BB145" s="4"/>
      <c r="BC145" s="4"/>
      <c r="BD145" s="4"/>
      <c r="BE145" s="36"/>
      <c r="BF145" s="37"/>
      <c r="BG145" s="4"/>
      <c r="BH145" s="4"/>
      <c r="BI145" s="4"/>
      <c r="BJ145" s="36"/>
      <c r="BK145" s="37"/>
      <c r="BL145" s="4"/>
      <c r="BM145" s="4"/>
      <c r="BN145" s="4"/>
      <c r="BO145" s="4"/>
      <c r="BP145" s="4"/>
      <c r="BQ145" s="4"/>
      <c r="BR145" s="4"/>
      <c r="BS145" s="4"/>
    </row>
    <row r="146" spans="8:90" ht="35.15" customHeight="1" x14ac:dyDescent="0.35">
      <c r="H146" s="1"/>
      <c r="AR146" s="4"/>
      <c r="AS146" s="36"/>
      <c r="AT146" s="37"/>
      <c r="AU146" s="4"/>
      <c r="AV146" s="4"/>
      <c r="AW146" s="4"/>
      <c r="AX146" s="36"/>
      <c r="AY146" s="37"/>
      <c r="AZ146" s="4"/>
      <c r="BA146" s="4"/>
      <c r="BB146" s="4"/>
      <c r="BC146" s="4"/>
      <c r="BD146" s="4"/>
      <c r="BE146" s="36"/>
      <c r="BF146" s="37"/>
      <c r="BG146" s="4"/>
      <c r="BH146" s="4"/>
      <c r="BI146" s="4"/>
      <c r="BJ146" s="36"/>
      <c r="BK146" s="37"/>
      <c r="BL146" s="4"/>
      <c r="BM146" s="4"/>
      <c r="BN146" s="4"/>
      <c r="BO146" s="4"/>
      <c r="BP146" s="4"/>
      <c r="BQ146" s="4"/>
      <c r="BR146" s="4"/>
      <c r="BS146" s="4"/>
    </row>
    <row r="147" spans="8:90" ht="35.15" customHeight="1" x14ac:dyDescent="0.35">
      <c r="H147" s="1"/>
      <c r="AR147" s="4"/>
      <c r="AS147" s="36"/>
      <c r="AT147" s="37"/>
      <c r="AU147" s="4"/>
      <c r="AV147" s="4"/>
      <c r="AW147" s="4"/>
      <c r="AX147" s="36"/>
      <c r="AY147" s="37"/>
      <c r="AZ147" s="4"/>
      <c r="BA147" s="4"/>
      <c r="BB147" s="4"/>
      <c r="BC147" s="4"/>
      <c r="BD147" s="4"/>
      <c r="BE147" s="36"/>
      <c r="BF147" s="37"/>
      <c r="BG147" s="4"/>
      <c r="BH147" s="4"/>
      <c r="BI147" s="4"/>
      <c r="BJ147" s="36"/>
      <c r="BK147" s="37"/>
      <c r="BL147" s="4"/>
      <c r="BM147" s="4"/>
      <c r="BN147" s="4"/>
      <c r="BO147" s="4"/>
      <c r="BP147" s="4"/>
      <c r="BQ147" s="4"/>
      <c r="BR147" s="4"/>
      <c r="BS147" s="4"/>
    </row>
    <row r="148" spans="8:90" ht="35.15" customHeight="1" x14ac:dyDescent="0.35">
      <c r="H148" s="1"/>
      <c r="AU148" s="4"/>
      <c r="AV148" s="4"/>
      <c r="AW148" s="4"/>
      <c r="AX148" s="36"/>
      <c r="AY148" s="37"/>
      <c r="AZ148" s="4"/>
      <c r="BA148" s="4"/>
      <c r="BB148" s="4"/>
      <c r="BC148" s="4"/>
      <c r="BD148" s="4"/>
      <c r="BE148" s="36"/>
      <c r="BF148" s="37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</row>
    <row r="149" spans="8:90" ht="35.15" customHeight="1" x14ac:dyDescent="0.35">
      <c r="H149" s="1"/>
      <c r="AE149" s="14" t="s">
        <v>49</v>
      </c>
      <c r="AF149" s="15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</row>
    <row r="150" spans="8:90" ht="35.15" customHeight="1" x14ac:dyDescent="0.35">
      <c r="H150" s="1"/>
      <c r="W150" s="14" t="s">
        <v>97</v>
      </c>
      <c r="X150" s="15"/>
      <c r="AD150" s="36"/>
      <c r="AE150" s="13" t="s">
        <v>39</v>
      </c>
      <c r="AF150" s="12" t="s">
        <v>64</v>
      </c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</row>
    <row r="151" spans="8:90" ht="35.15" customHeight="1" x14ac:dyDescent="0.35">
      <c r="H151" s="1"/>
      <c r="W151" s="13" t="s">
        <v>39</v>
      </c>
      <c r="X151" s="12" t="s">
        <v>117</v>
      </c>
      <c r="AD151" s="36"/>
      <c r="AE151" s="13" t="s">
        <v>40</v>
      </c>
      <c r="AF151" s="12" t="s">
        <v>56</v>
      </c>
      <c r="AR151" s="14" t="s">
        <v>47</v>
      </c>
      <c r="AS151" s="15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</row>
    <row r="152" spans="8:90" ht="79.25" customHeight="1" x14ac:dyDescent="0.35">
      <c r="H152" s="1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W152" s="13" t="s">
        <v>40</v>
      </c>
      <c r="X152" s="12" t="s">
        <v>118</v>
      </c>
      <c r="AD152" s="36"/>
      <c r="AE152" s="13" t="s">
        <v>41</v>
      </c>
      <c r="AF152" s="12" t="s">
        <v>57</v>
      </c>
      <c r="AJ152" s="14" t="s">
        <v>85</v>
      </c>
      <c r="AK152" s="15"/>
      <c r="AQ152" s="36"/>
      <c r="AR152" s="13" t="s">
        <v>39</v>
      </c>
      <c r="AS152" s="12" t="s">
        <v>70</v>
      </c>
      <c r="AU152" s="55"/>
      <c r="AV152" s="56"/>
      <c r="AW152" s="56"/>
      <c r="AX152" s="38"/>
      <c r="AY152" s="38"/>
      <c r="AZ152" s="55"/>
      <c r="BA152" s="56"/>
      <c r="BB152" s="56"/>
      <c r="BC152" s="56"/>
      <c r="BD152" s="56"/>
      <c r="BE152" s="38"/>
      <c r="BF152" s="38"/>
      <c r="BG152" s="55"/>
      <c r="BH152" s="56"/>
      <c r="BI152" s="56"/>
      <c r="BJ152" s="38"/>
      <c r="BK152" s="38"/>
      <c r="BL152" s="38"/>
      <c r="BM152" s="38"/>
      <c r="BN152" s="38"/>
      <c r="BO152" s="38"/>
      <c r="BP152" s="39"/>
      <c r="BQ152" s="40"/>
      <c r="BR152" s="41"/>
      <c r="BS152" s="38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</row>
    <row r="153" spans="8:90" ht="79.25" customHeight="1" x14ac:dyDescent="1">
      <c r="H153" s="1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W153" s="13" t="s">
        <v>41</v>
      </c>
      <c r="X153" s="12" t="s">
        <v>119</v>
      </c>
      <c r="AD153" s="36"/>
      <c r="AE153" s="13" t="s">
        <v>42</v>
      </c>
      <c r="AF153" s="12">
        <v>1</v>
      </c>
      <c r="AJ153" s="13" t="s">
        <v>39</v>
      </c>
      <c r="AK153" s="12" t="s">
        <v>115</v>
      </c>
      <c r="AQ153" s="36"/>
      <c r="AR153" s="13" t="s">
        <v>40</v>
      </c>
      <c r="AS153" s="12" t="s">
        <v>63</v>
      </c>
      <c r="AU153" s="38"/>
      <c r="AV153" s="38"/>
      <c r="AW153" s="38"/>
      <c r="AX153" s="53"/>
      <c r="AY153" s="54"/>
      <c r="AZ153" s="38"/>
      <c r="BA153" s="38"/>
      <c r="BB153" s="38"/>
      <c r="BC153" s="38"/>
      <c r="BD153" s="38"/>
      <c r="BE153" s="53"/>
      <c r="BF153" s="54"/>
      <c r="BG153" s="38"/>
      <c r="BH153" s="38"/>
      <c r="BI153" s="38"/>
      <c r="BJ153" s="53"/>
      <c r="BK153" s="54"/>
      <c r="BL153" s="38"/>
      <c r="BM153" s="38"/>
      <c r="BN153" s="38"/>
      <c r="BO153" s="38"/>
      <c r="BP153" s="39"/>
      <c r="BQ153" s="40"/>
      <c r="BR153" s="42"/>
      <c r="BS153" s="38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</row>
    <row r="154" spans="8:90" ht="35.15" customHeight="1" x14ac:dyDescent="0.35">
      <c r="H154" s="1"/>
      <c r="W154" s="13" t="s">
        <v>42</v>
      </c>
      <c r="X154" s="12">
        <v>1</v>
      </c>
      <c r="AD154" s="36"/>
      <c r="AE154" s="13" t="s">
        <v>43</v>
      </c>
      <c r="AF154" s="12">
        <v>1</v>
      </c>
      <c r="AJ154" s="13" t="s">
        <v>40</v>
      </c>
      <c r="AK154" s="12" t="s">
        <v>116</v>
      </c>
      <c r="AQ154" s="36"/>
      <c r="AR154" s="13" t="s">
        <v>41</v>
      </c>
      <c r="AS154" s="12" t="s">
        <v>45</v>
      </c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</row>
    <row r="155" spans="8:90" ht="35.15" customHeight="1" x14ac:dyDescent="0.35">
      <c r="H155" s="1"/>
      <c r="W155" s="13" t="s">
        <v>43</v>
      </c>
      <c r="X155" s="12" t="s">
        <v>46</v>
      </c>
      <c r="AD155" s="36"/>
      <c r="AE155" s="13" t="s">
        <v>44</v>
      </c>
      <c r="AF155" s="12">
        <v>3</v>
      </c>
      <c r="AJ155" s="13" t="s">
        <v>41</v>
      </c>
      <c r="AK155" s="12" t="s">
        <v>45</v>
      </c>
      <c r="AQ155" s="36"/>
      <c r="AR155" s="13" t="s">
        <v>42</v>
      </c>
      <c r="AS155" s="12">
        <v>1</v>
      </c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</row>
    <row r="156" spans="8:90" ht="35.15" customHeight="1" x14ac:dyDescent="0.35">
      <c r="H156" s="1"/>
      <c r="W156" s="13" t="s">
        <v>44</v>
      </c>
      <c r="X156" s="12">
        <v>3</v>
      </c>
      <c r="AD156" s="36"/>
      <c r="AE156" s="37"/>
      <c r="AJ156" s="13" t="s">
        <v>42</v>
      </c>
      <c r="AK156" s="12">
        <v>1</v>
      </c>
      <c r="AQ156" s="36"/>
      <c r="AR156" s="13" t="s">
        <v>43</v>
      </c>
      <c r="AS156" s="12">
        <v>1</v>
      </c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</row>
    <row r="157" spans="8:90" ht="35.15" customHeight="1" x14ac:dyDescent="0.35">
      <c r="H157" s="1"/>
      <c r="AJ157" s="13" t="s">
        <v>43</v>
      </c>
      <c r="AK157" s="12">
        <v>1</v>
      </c>
      <c r="AQ157" s="36"/>
      <c r="AR157" s="13" t="s">
        <v>44</v>
      </c>
      <c r="AS157" s="12">
        <v>3</v>
      </c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</row>
    <row r="158" spans="8:90" ht="35.15" customHeight="1" x14ac:dyDescent="0.35">
      <c r="H158" s="1"/>
      <c r="AJ158" s="13" t="s">
        <v>44</v>
      </c>
      <c r="AK158" s="12">
        <v>3</v>
      </c>
      <c r="AQ158" s="36"/>
      <c r="AR158" s="37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</row>
    <row r="159" spans="8:90" ht="35.15" customHeight="1" x14ac:dyDescent="0.35">
      <c r="H159" s="1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</row>
    <row r="160" spans="8:90" ht="35.15" customHeight="1" x14ac:dyDescent="0.35">
      <c r="H160" s="1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</row>
    <row r="161" spans="8:72" ht="35.15" customHeight="1" x14ac:dyDescent="0.35">
      <c r="H161" s="1"/>
    </row>
    <row r="162" spans="8:72" ht="79.25" customHeight="1" thickBot="1" x14ac:dyDescent="0.4">
      <c r="H162" s="1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59">
        <v>8776</v>
      </c>
      <c r="Z162" s="60"/>
      <c r="AA162" s="60"/>
      <c r="AB162" s="60"/>
      <c r="AC162" s="60"/>
      <c r="AD162" s="61"/>
      <c r="AE162" s="33"/>
      <c r="AF162" s="33"/>
      <c r="AG162" s="59">
        <v>8520</v>
      </c>
      <c r="AH162" s="60"/>
      <c r="AI162" s="61"/>
      <c r="AJ162" s="33"/>
      <c r="AK162" s="33"/>
      <c r="AL162" s="59">
        <v>57960</v>
      </c>
      <c r="AM162" s="60"/>
      <c r="AN162" s="60"/>
      <c r="AO162" s="60"/>
      <c r="AP162" s="60"/>
      <c r="AQ162" s="61"/>
      <c r="AR162" s="33"/>
      <c r="AS162" s="33"/>
      <c r="AT162" s="46"/>
      <c r="AU162" s="46"/>
      <c r="AV162" s="46"/>
      <c r="AW162" s="46"/>
      <c r="AX162" s="47" t="s">
        <v>108</v>
      </c>
      <c r="AY162" s="51" t="s">
        <v>122</v>
      </c>
      <c r="AZ162" s="49" t="s">
        <v>111</v>
      </c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</row>
    <row r="163" spans="8:72" ht="79.25" customHeight="1" thickBot="1" x14ac:dyDescent="1.05">
      <c r="H163" s="1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57">
        <v>4.95</v>
      </c>
      <c r="X163" s="58"/>
      <c r="Y163" s="33"/>
      <c r="Z163" s="33"/>
      <c r="AA163" s="33"/>
      <c r="AB163" s="33"/>
      <c r="AC163" s="33"/>
      <c r="AD163" s="45"/>
      <c r="AE163" s="57">
        <v>10.97</v>
      </c>
      <c r="AF163" s="58"/>
      <c r="AG163" s="33"/>
      <c r="AH163" s="33"/>
      <c r="AI163" s="45"/>
      <c r="AJ163" s="57">
        <v>4.26</v>
      </c>
      <c r="AK163" s="58"/>
      <c r="AL163" s="33"/>
      <c r="AM163" s="33"/>
      <c r="AN163" s="33"/>
      <c r="AO163" s="33"/>
      <c r="AP163" s="33"/>
      <c r="AQ163" s="45"/>
      <c r="AR163" s="57">
        <v>14.49</v>
      </c>
      <c r="AS163" s="58"/>
      <c r="AT163" s="33"/>
      <c r="AU163" s="33"/>
      <c r="AV163" s="33"/>
      <c r="AW163" s="33"/>
      <c r="AX163" s="50" t="s">
        <v>109</v>
      </c>
      <c r="AY163" s="52" t="s">
        <v>123</v>
      </c>
      <c r="AZ163" s="48">
        <v>0.99950000000000006</v>
      </c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</row>
    <row r="164" spans="8:72" ht="35.15" customHeight="1" x14ac:dyDescent="0.35">
      <c r="H164" s="1"/>
    </row>
    <row r="165" spans="8:72" ht="35.15" customHeight="1" x14ac:dyDescent="0.35">
      <c r="H165" s="1"/>
    </row>
    <row r="166" spans="8:72" ht="35.15" customHeight="1" x14ac:dyDescent="0.35">
      <c r="H166" s="1"/>
    </row>
    <row r="167" spans="8:72" ht="35.15" customHeight="1" x14ac:dyDescent="0.35">
      <c r="H167" s="1"/>
    </row>
    <row r="168" spans="8:72" ht="35.15" customHeight="1" x14ac:dyDescent="0.35">
      <c r="H168" s="1"/>
    </row>
    <row r="169" spans="8:72" ht="35.15" customHeight="1" x14ac:dyDescent="0.35">
      <c r="H169" s="1"/>
    </row>
    <row r="170" spans="8:72" ht="35.15" customHeight="1" x14ac:dyDescent="0.35">
      <c r="H170" s="1"/>
    </row>
    <row r="171" spans="8:72" ht="35.15" customHeight="1" x14ac:dyDescent="0.35">
      <c r="H171" s="1"/>
    </row>
    <row r="172" spans="8:72" ht="35.15" customHeight="1" x14ac:dyDescent="0.35">
      <c r="H172" s="1"/>
    </row>
    <row r="173" spans="8:72" ht="35.15" customHeight="1" x14ac:dyDescent="0.35">
      <c r="H173" s="1"/>
    </row>
    <row r="174" spans="8:72" ht="35.15" customHeight="1" x14ac:dyDescent="0.35">
      <c r="H174" s="1"/>
    </row>
    <row r="175" spans="8:72" ht="35.15" customHeight="1" x14ac:dyDescent="0.35">
      <c r="H175" s="1"/>
    </row>
    <row r="176" spans="8:72" ht="35.15" customHeight="1" x14ac:dyDescent="0.35">
      <c r="H176" s="1"/>
    </row>
    <row r="177" spans="8:8" ht="35.15" customHeight="1" x14ac:dyDescent="0.35">
      <c r="H177" s="1"/>
    </row>
    <row r="178" spans="8:8" ht="35.15" customHeight="1" x14ac:dyDescent="0.35">
      <c r="H178" s="1"/>
    </row>
    <row r="179" spans="8:8" ht="35.15" customHeight="1" x14ac:dyDescent="0.35">
      <c r="H179" s="1"/>
    </row>
    <row r="180" spans="8:8" ht="35.15" customHeight="1" x14ac:dyDescent="0.35">
      <c r="H180" s="1"/>
    </row>
    <row r="181" spans="8:8" ht="35.15" customHeight="1" x14ac:dyDescent="0.35">
      <c r="H181" s="1"/>
    </row>
    <row r="182" spans="8:8" ht="35.15" customHeight="1" x14ac:dyDescent="0.35">
      <c r="H182" s="1"/>
    </row>
    <row r="183" spans="8:8" ht="35.15" customHeight="1" x14ac:dyDescent="0.35">
      <c r="H183" s="1"/>
    </row>
    <row r="184" spans="8:8" ht="35.15" customHeight="1" x14ac:dyDescent="0.35">
      <c r="H184" s="1"/>
    </row>
    <row r="185" spans="8:8" ht="35.15" customHeight="1" x14ac:dyDescent="0.35">
      <c r="H185" s="1"/>
    </row>
    <row r="186" spans="8:8" ht="35.15" customHeight="1" x14ac:dyDescent="0.35">
      <c r="H186" s="1"/>
    </row>
    <row r="187" spans="8:8" ht="35.15" customHeight="1" x14ac:dyDescent="0.35">
      <c r="H187" s="1"/>
    </row>
    <row r="188" spans="8:8" ht="35.15" customHeight="1" x14ac:dyDescent="0.35">
      <c r="H188" s="1"/>
    </row>
    <row r="189" spans="8:8" ht="35.15" customHeight="1" x14ac:dyDescent="0.35">
      <c r="H189" s="1"/>
    </row>
    <row r="190" spans="8:8" ht="35.15" customHeight="1" x14ac:dyDescent="0.35">
      <c r="H190" s="1"/>
    </row>
    <row r="191" spans="8:8" ht="35.15" customHeight="1" x14ac:dyDescent="0.35">
      <c r="H191" s="1"/>
    </row>
    <row r="192" spans="8:8" ht="35.15" customHeight="1" x14ac:dyDescent="0.35">
      <c r="H192" s="1"/>
    </row>
    <row r="193" spans="1:600" ht="35.15" customHeight="1" x14ac:dyDescent="0.35">
      <c r="H193" s="1"/>
    </row>
    <row r="194" spans="1:600" ht="35.15" customHeight="1" x14ac:dyDescent="0.35">
      <c r="H194" s="1"/>
    </row>
    <row r="195" spans="1:600" ht="35.15" customHeight="1" x14ac:dyDescent="0.3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</row>
    <row r="196" spans="1:600" ht="35.15" customHeight="1" x14ac:dyDescent="0.35">
      <c r="H196" s="1"/>
    </row>
    <row r="197" spans="1:600" ht="35.15" customHeight="1" x14ac:dyDescent="0.35">
      <c r="H197" s="1"/>
    </row>
    <row r="198" spans="1:600" ht="35.15" customHeight="1" x14ac:dyDescent="0.35">
      <c r="H198" s="1"/>
    </row>
    <row r="199" spans="1:600" ht="35.15" customHeight="1" x14ac:dyDescent="0.35">
      <c r="H199" s="1"/>
    </row>
    <row r="200" spans="1:600" ht="35.15" customHeight="1" x14ac:dyDescent="0.35">
      <c r="H200" s="1"/>
    </row>
    <row r="201" spans="1:600" ht="35.15" customHeight="1" x14ac:dyDescent="0.35">
      <c r="H201" s="1"/>
    </row>
    <row r="202" spans="1:600" ht="35.15" customHeight="1" x14ac:dyDescent="0.35">
      <c r="H202" s="1"/>
    </row>
    <row r="203" spans="1:600" ht="35.15" customHeight="1" x14ac:dyDescent="0.35">
      <c r="H203" s="1"/>
    </row>
    <row r="204" spans="1:600" ht="35.15" customHeight="1" x14ac:dyDescent="0.35">
      <c r="H204" s="1"/>
    </row>
    <row r="205" spans="1:600" ht="35.15" customHeight="1" x14ac:dyDescent="0.35">
      <c r="H205" s="1"/>
    </row>
    <row r="206" spans="1:600" ht="35.15" customHeight="1" x14ac:dyDescent="0.35">
      <c r="H206" s="1"/>
    </row>
    <row r="207" spans="1:600" ht="35.15" customHeight="1" x14ac:dyDescent="0.35">
      <c r="H207" s="1"/>
    </row>
    <row r="208" spans="1:600" ht="35.15" customHeight="1" x14ac:dyDescent="0.35">
      <c r="H208" s="1"/>
    </row>
    <row r="209" spans="8:8" ht="35.15" customHeight="1" x14ac:dyDescent="0.35">
      <c r="H209" s="1"/>
    </row>
    <row r="210" spans="8:8" ht="35.15" customHeight="1" x14ac:dyDescent="0.35">
      <c r="H210" s="1"/>
    </row>
    <row r="211" spans="8:8" ht="35.15" customHeight="1" x14ac:dyDescent="0.35">
      <c r="H211" s="1"/>
    </row>
    <row r="212" spans="8:8" ht="35.15" customHeight="1" x14ac:dyDescent="0.35">
      <c r="H212" s="1"/>
    </row>
    <row r="213" spans="8:8" ht="35.15" customHeight="1" x14ac:dyDescent="0.35">
      <c r="H213" s="1"/>
    </row>
    <row r="214" spans="8:8" ht="35.15" customHeight="1" x14ac:dyDescent="0.35">
      <c r="H214" s="1"/>
    </row>
    <row r="215" spans="8:8" ht="35.15" customHeight="1" x14ac:dyDescent="0.35">
      <c r="H215" s="1"/>
    </row>
    <row r="216" spans="8:8" ht="35.15" customHeight="1" x14ac:dyDescent="0.35">
      <c r="H216" s="1"/>
    </row>
    <row r="217" spans="8:8" ht="35.15" customHeight="1" x14ac:dyDescent="0.35">
      <c r="H217" s="1"/>
    </row>
    <row r="218" spans="8:8" ht="35.15" customHeight="1" x14ac:dyDescent="0.35">
      <c r="H218" s="1"/>
    </row>
    <row r="219" spans="8:8" ht="35.15" customHeight="1" x14ac:dyDescent="0.35">
      <c r="H219" s="1"/>
    </row>
    <row r="220" spans="8:8" ht="35.15" customHeight="1" x14ac:dyDescent="0.35">
      <c r="H220" s="1"/>
    </row>
    <row r="221" spans="8:8" ht="35.15" customHeight="1" x14ac:dyDescent="0.35">
      <c r="H221" s="1"/>
    </row>
    <row r="222" spans="8:8" ht="35.15" customHeight="1" x14ac:dyDescent="0.35">
      <c r="H222" s="1"/>
    </row>
    <row r="223" spans="8:8" ht="35.15" customHeight="1" x14ac:dyDescent="0.35">
      <c r="H223" s="1"/>
    </row>
    <row r="224" spans="8:8" ht="35.15" customHeight="1" x14ac:dyDescent="0.35">
      <c r="H224" s="1"/>
    </row>
    <row r="225" spans="8:8" ht="35.15" customHeight="1" x14ac:dyDescent="0.35">
      <c r="H225" s="1"/>
    </row>
    <row r="226" spans="8:8" ht="35.15" customHeight="1" x14ac:dyDescent="0.35">
      <c r="H226" s="1"/>
    </row>
    <row r="227" spans="8:8" ht="35.15" customHeight="1" x14ac:dyDescent="0.35">
      <c r="H227" s="1"/>
    </row>
    <row r="228" spans="8:8" ht="35.15" customHeight="1" x14ac:dyDescent="0.35">
      <c r="H228" s="1"/>
    </row>
    <row r="229" spans="8:8" ht="35.15" customHeight="1" x14ac:dyDescent="0.35">
      <c r="H229" s="1"/>
    </row>
    <row r="230" spans="8:8" ht="35.15" customHeight="1" x14ac:dyDescent="0.35">
      <c r="H230" s="1"/>
    </row>
    <row r="231" spans="8:8" ht="35.15" customHeight="1" x14ac:dyDescent="0.35">
      <c r="H231" s="1"/>
    </row>
    <row r="232" spans="8:8" ht="35.15" customHeight="1" x14ac:dyDescent="0.35">
      <c r="H232" s="1"/>
    </row>
    <row r="233" spans="8:8" ht="35.15" customHeight="1" x14ac:dyDescent="0.35">
      <c r="H233" s="1"/>
    </row>
    <row r="234" spans="8:8" ht="35.15" customHeight="1" x14ac:dyDescent="0.35">
      <c r="H234" s="1"/>
    </row>
    <row r="235" spans="8:8" ht="35.15" customHeight="1" x14ac:dyDescent="0.35">
      <c r="H235" s="1"/>
    </row>
    <row r="236" spans="8:8" ht="35.15" customHeight="1" x14ac:dyDescent="0.35">
      <c r="H236" s="1"/>
    </row>
    <row r="237" spans="8:8" ht="35.15" customHeight="1" x14ac:dyDescent="0.35">
      <c r="H237" s="1"/>
    </row>
    <row r="238" spans="8:8" ht="35.15" customHeight="1" x14ac:dyDescent="0.35">
      <c r="H238" s="1"/>
    </row>
    <row r="239" spans="8:8" ht="35.15" customHeight="1" x14ac:dyDescent="0.35">
      <c r="H239" s="1"/>
    </row>
    <row r="240" spans="8:8" ht="35.15" customHeight="1" x14ac:dyDescent="0.35">
      <c r="H240" s="1"/>
    </row>
    <row r="241" spans="8:8" ht="35.15" customHeight="1" x14ac:dyDescent="0.35">
      <c r="H241" s="1"/>
    </row>
    <row r="242" spans="8:8" ht="35.15" customHeight="1" x14ac:dyDescent="0.35">
      <c r="H242" s="1"/>
    </row>
    <row r="243" spans="8:8" ht="35.15" customHeight="1" x14ac:dyDescent="0.35">
      <c r="H243" s="1"/>
    </row>
    <row r="244" spans="8:8" ht="35.15" customHeight="1" x14ac:dyDescent="0.35">
      <c r="H244" s="1"/>
    </row>
    <row r="245" spans="8:8" ht="35.15" customHeight="1" x14ac:dyDescent="0.35">
      <c r="H245" s="1"/>
    </row>
    <row r="246" spans="8:8" ht="35.15" customHeight="1" x14ac:dyDescent="0.35">
      <c r="H246" s="1"/>
    </row>
    <row r="247" spans="8:8" ht="35.15" customHeight="1" x14ac:dyDescent="0.35">
      <c r="H247" s="1"/>
    </row>
    <row r="248" spans="8:8" ht="35.15" customHeight="1" x14ac:dyDescent="0.35">
      <c r="H248" s="1"/>
    </row>
    <row r="249" spans="8:8" ht="35.15" customHeight="1" x14ac:dyDescent="0.35">
      <c r="H249" s="1"/>
    </row>
    <row r="250" spans="8:8" ht="35.15" customHeight="1" x14ac:dyDescent="0.35">
      <c r="H250" s="1"/>
    </row>
    <row r="251" spans="8:8" ht="35.15" customHeight="1" x14ac:dyDescent="0.35">
      <c r="H251" s="1"/>
    </row>
    <row r="252" spans="8:8" ht="35.15" customHeight="1" x14ac:dyDescent="0.35">
      <c r="H252" s="1"/>
    </row>
    <row r="253" spans="8:8" ht="35.15" customHeight="1" x14ac:dyDescent="0.35">
      <c r="H253" s="1"/>
    </row>
    <row r="254" spans="8:8" ht="35.15" customHeight="1" x14ac:dyDescent="0.35">
      <c r="H254" s="1"/>
    </row>
    <row r="255" spans="8:8" ht="35.15" customHeight="1" x14ac:dyDescent="0.35">
      <c r="H255" s="1"/>
    </row>
    <row r="256" spans="8:8" ht="35.15" customHeight="1" x14ac:dyDescent="0.35">
      <c r="H256" s="1"/>
    </row>
    <row r="257" spans="1:600" ht="35.15" customHeight="1" x14ac:dyDescent="0.35">
      <c r="H257" s="1"/>
    </row>
    <row r="258" spans="1:600" ht="35.15" customHeight="1" x14ac:dyDescent="0.35">
      <c r="H258" s="1"/>
    </row>
    <row r="259" spans="1:600" ht="35.15" customHeight="1" x14ac:dyDescent="0.35">
      <c r="H259" s="1"/>
    </row>
    <row r="260" spans="1:600" ht="35.15" customHeight="1" x14ac:dyDescent="0.3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</row>
    <row r="261" spans="1:600" ht="35.15" customHeight="1" x14ac:dyDescent="0.35">
      <c r="H261" s="1"/>
    </row>
    <row r="262" spans="1:600" ht="35.15" customHeight="1" x14ac:dyDescent="0.35">
      <c r="H262" s="1"/>
    </row>
    <row r="263" spans="1:600" ht="35.15" customHeight="1" x14ac:dyDescent="0.35">
      <c r="H263" s="1"/>
    </row>
    <row r="264" spans="1:600" ht="35.15" customHeight="1" x14ac:dyDescent="0.35">
      <c r="H264" s="1"/>
    </row>
    <row r="265" spans="1:600" ht="35.15" customHeight="1" x14ac:dyDescent="0.35">
      <c r="H265" s="1"/>
    </row>
    <row r="266" spans="1:600" ht="35.15" customHeight="1" x14ac:dyDescent="0.35">
      <c r="H266" s="1"/>
    </row>
    <row r="267" spans="1:600" ht="35.15" customHeight="1" x14ac:dyDescent="0.35">
      <c r="H267" s="1"/>
    </row>
    <row r="268" spans="1:600" ht="35.15" customHeight="1" x14ac:dyDescent="0.35">
      <c r="H268" s="1"/>
    </row>
    <row r="269" spans="1:600" ht="35.15" customHeight="1" x14ac:dyDescent="0.35">
      <c r="H269" s="1"/>
    </row>
    <row r="270" spans="1:600" ht="35.15" customHeight="1" x14ac:dyDescent="0.35">
      <c r="H270" s="1"/>
    </row>
    <row r="271" spans="1:600" ht="35.15" customHeight="1" x14ac:dyDescent="0.35">
      <c r="H271" s="1"/>
    </row>
    <row r="272" spans="1:600" ht="35.15" customHeight="1" x14ac:dyDescent="0.35">
      <c r="H272" s="1"/>
    </row>
    <row r="273" spans="8:8" ht="35.15" customHeight="1" x14ac:dyDescent="0.35">
      <c r="H273" s="1"/>
    </row>
    <row r="274" spans="8:8" ht="35.15" customHeight="1" x14ac:dyDescent="0.35">
      <c r="H274" s="1"/>
    </row>
    <row r="275" spans="8:8" ht="35.15" customHeight="1" x14ac:dyDescent="0.35">
      <c r="H275" s="1"/>
    </row>
    <row r="276" spans="8:8" ht="35.15" customHeight="1" x14ac:dyDescent="0.35">
      <c r="H276" s="1"/>
    </row>
    <row r="277" spans="8:8" ht="35.15" customHeight="1" x14ac:dyDescent="0.35">
      <c r="H277" s="1"/>
    </row>
    <row r="278" spans="8:8" ht="35.15" customHeight="1" x14ac:dyDescent="0.35">
      <c r="H278" s="1"/>
    </row>
    <row r="279" spans="8:8" ht="35.15" customHeight="1" x14ac:dyDescent="0.35">
      <c r="H279" s="1"/>
    </row>
    <row r="280" spans="8:8" ht="35.15" customHeight="1" x14ac:dyDescent="0.35">
      <c r="H280" s="1"/>
    </row>
    <row r="281" spans="8:8" ht="35.15" customHeight="1" x14ac:dyDescent="0.35">
      <c r="H281" s="1"/>
    </row>
    <row r="282" spans="8:8" ht="35.15" customHeight="1" x14ac:dyDescent="0.35">
      <c r="H282" s="1"/>
    </row>
    <row r="283" spans="8:8" ht="35.15" customHeight="1" x14ac:dyDescent="0.35">
      <c r="H283" s="1"/>
    </row>
    <row r="284" spans="8:8" ht="35.15" customHeight="1" x14ac:dyDescent="0.35">
      <c r="H284" s="1"/>
    </row>
    <row r="285" spans="8:8" ht="35.15" customHeight="1" x14ac:dyDescent="0.35">
      <c r="H285" s="1"/>
    </row>
    <row r="286" spans="8:8" ht="35.15" customHeight="1" x14ac:dyDescent="0.35">
      <c r="H286" s="1"/>
    </row>
    <row r="287" spans="8:8" ht="35.15" customHeight="1" x14ac:dyDescent="0.35">
      <c r="H287" s="1"/>
    </row>
    <row r="288" spans="8:8" ht="35.15" customHeight="1" x14ac:dyDescent="0.35">
      <c r="H288" s="1"/>
    </row>
    <row r="289" spans="8:8" ht="35.15" customHeight="1" x14ac:dyDescent="0.35">
      <c r="H289" s="1"/>
    </row>
    <row r="290" spans="8:8" ht="35.15" customHeight="1" x14ac:dyDescent="0.35">
      <c r="H290" s="1"/>
    </row>
    <row r="291" spans="8:8" ht="35.15" customHeight="1" x14ac:dyDescent="0.35">
      <c r="H291" s="1"/>
    </row>
    <row r="292" spans="8:8" ht="35.15" customHeight="1" x14ac:dyDescent="0.35">
      <c r="H292" s="1"/>
    </row>
    <row r="293" spans="8:8" ht="35.15" customHeight="1" x14ac:dyDescent="0.35">
      <c r="H293" s="1"/>
    </row>
    <row r="294" spans="8:8" ht="35.15" customHeight="1" x14ac:dyDescent="0.35">
      <c r="H294" s="1"/>
    </row>
    <row r="295" spans="8:8" ht="35.15" customHeight="1" x14ac:dyDescent="0.35">
      <c r="H295" s="1"/>
    </row>
    <row r="296" spans="8:8" ht="35.15" customHeight="1" x14ac:dyDescent="0.35">
      <c r="H296" s="1"/>
    </row>
    <row r="297" spans="8:8" ht="35.15" customHeight="1" x14ac:dyDescent="0.35">
      <c r="H297" s="1"/>
    </row>
    <row r="298" spans="8:8" ht="35.15" customHeight="1" x14ac:dyDescent="0.35">
      <c r="H298" s="1"/>
    </row>
    <row r="299" spans="8:8" ht="35.15" customHeight="1" x14ac:dyDescent="0.35">
      <c r="H299" s="1"/>
    </row>
    <row r="300" spans="8:8" ht="35.15" customHeight="1" x14ac:dyDescent="0.35">
      <c r="H300" s="1"/>
    </row>
    <row r="301" spans="8:8" ht="35.15" customHeight="1" x14ac:dyDescent="0.35">
      <c r="H301" s="1"/>
    </row>
    <row r="302" spans="8:8" ht="35.15" customHeight="1" x14ac:dyDescent="0.35">
      <c r="H302" s="1"/>
    </row>
    <row r="303" spans="8:8" ht="35.15" customHeight="1" x14ac:dyDescent="0.35">
      <c r="H303" s="1"/>
    </row>
    <row r="304" spans="8:8" ht="35.15" customHeight="1" x14ac:dyDescent="0.35">
      <c r="H304" s="1"/>
    </row>
    <row r="305" spans="8:8" ht="35.15" customHeight="1" x14ac:dyDescent="0.35">
      <c r="H305" s="1"/>
    </row>
    <row r="306" spans="8:8" ht="35.15" customHeight="1" x14ac:dyDescent="0.35">
      <c r="H306" s="1"/>
    </row>
    <row r="307" spans="8:8" ht="35.15" customHeight="1" x14ac:dyDescent="0.35">
      <c r="H307" s="1"/>
    </row>
    <row r="308" spans="8:8" ht="35.15" customHeight="1" x14ac:dyDescent="0.35">
      <c r="H308" s="1"/>
    </row>
    <row r="309" spans="8:8" ht="35.15" customHeight="1" x14ac:dyDescent="0.35">
      <c r="H309" s="1"/>
    </row>
    <row r="310" spans="8:8" ht="35.15" customHeight="1" x14ac:dyDescent="0.35">
      <c r="H310" s="1"/>
    </row>
    <row r="311" spans="8:8" ht="35.15" customHeight="1" x14ac:dyDescent="0.35">
      <c r="H311" s="1"/>
    </row>
    <row r="312" spans="8:8" ht="35.15" customHeight="1" x14ac:dyDescent="0.35">
      <c r="H312" s="1"/>
    </row>
    <row r="313" spans="8:8" ht="35.15" customHeight="1" x14ac:dyDescent="0.35">
      <c r="H313" s="1"/>
    </row>
    <row r="314" spans="8:8" ht="35.15" customHeight="1" x14ac:dyDescent="0.35">
      <c r="H314" s="1"/>
    </row>
    <row r="315" spans="8:8" ht="35.15" customHeight="1" x14ac:dyDescent="0.35">
      <c r="H315" s="1"/>
    </row>
    <row r="316" spans="8:8" ht="35.15" customHeight="1" x14ac:dyDescent="0.35">
      <c r="H316" s="1"/>
    </row>
    <row r="317" spans="8:8" ht="35.15" customHeight="1" x14ac:dyDescent="0.35">
      <c r="H317" s="1"/>
    </row>
    <row r="318" spans="8:8" ht="35.15" customHeight="1" x14ac:dyDescent="0.35">
      <c r="H318" s="1"/>
    </row>
    <row r="319" spans="8:8" ht="35.15" customHeight="1" x14ac:dyDescent="0.35">
      <c r="H319" s="1"/>
    </row>
    <row r="320" spans="8:8" ht="35.15" customHeight="1" x14ac:dyDescent="0.35">
      <c r="H320" s="1"/>
    </row>
    <row r="321" spans="1:600" ht="35.15" customHeight="1" x14ac:dyDescent="0.35">
      <c r="H321" s="1"/>
    </row>
    <row r="322" spans="1:600" ht="35.15" customHeight="1" x14ac:dyDescent="0.35">
      <c r="H322" s="1"/>
    </row>
    <row r="323" spans="1:600" ht="35.15" customHeight="1" x14ac:dyDescent="0.35">
      <c r="H323" s="1"/>
    </row>
    <row r="324" spans="1:600" ht="35.15" customHeight="1" x14ac:dyDescent="0.35">
      <c r="H324" s="1"/>
    </row>
    <row r="325" spans="1:600" ht="35.15" customHeight="1" x14ac:dyDescent="0.3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</row>
    <row r="326" spans="1:600" ht="35.15" customHeight="1" x14ac:dyDescent="0.35">
      <c r="H326" s="1"/>
    </row>
    <row r="327" spans="1:600" ht="35.15" customHeight="1" x14ac:dyDescent="0.35">
      <c r="H327" s="1"/>
    </row>
    <row r="328" spans="1:600" ht="35.15" customHeight="1" x14ac:dyDescent="0.35">
      <c r="H328" s="1"/>
    </row>
    <row r="329" spans="1:600" ht="35.15" customHeight="1" x14ac:dyDescent="0.35">
      <c r="H329" s="1"/>
    </row>
    <row r="330" spans="1:600" ht="35.15" customHeight="1" x14ac:dyDescent="0.35">
      <c r="H330" s="1"/>
    </row>
    <row r="331" spans="1:600" ht="35.15" customHeight="1" x14ac:dyDescent="0.35">
      <c r="H331" s="1"/>
    </row>
    <row r="332" spans="1:600" ht="35.15" customHeight="1" x14ac:dyDescent="0.35">
      <c r="H332" s="1"/>
    </row>
    <row r="333" spans="1:600" ht="35.15" customHeight="1" x14ac:dyDescent="0.35">
      <c r="H333" s="1"/>
    </row>
    <row r="334" spans="1:600" ht="35.15" customHeight="1" x14ac:dyDescent="0.35">
      <c r="H334" s="1"/>
    </row>
    <row r="335" spans="1:600" ht="35.15" customHeight="1" x14ac:dyDescent="0.35">
      <c r="H335" s="1"/>
    </row>
    <row r="336" spans="1:600" ht="35.15" customHeight="1" x14ac:dyDescent="0.35">
      <c r="H336" s="1"/>
    </row>
    <row r="337" spans="8:8" ht="35.15" customHeight="1" x14ac:dyDescent="0.35">
      <c r="H337" s="1"/>
    </row>
    <row r="338" spans="8:8" ht="35.15" customHeight="1" x14ac:dyDescent="0.35">
      <c r="H338" s="1"/>
    </row>
    <row r="339" spans="8:8" ht="35.15" customHeight="1" x14ac:dyDescent="0.35">
      <c r="H339" s="1"/>
    </row>
    <row r="340" spans="8:8" ht="35.15" customHeight="1" x14ac:dyDescent="0.35">
      <c r="H340" s="1"/>
    </row>
    <row r="341" spans="8:8" ht="35.15" customHeight="1" x14ac:dyDescent="0.35">
      <c r="H341" s="1"/>
    </row>
    <row r="342" spans="8:8" ht="35.15" customHeight="1" x14ac:dyDescent="0.35">
      <c r="H342" s="1"/>
    </row>
    <row r="343" spans="8:8" ht="35.15" customHeight="1" x14ac:dyDescent="0.35">
      <c r="H343" s="1"/>
    </row>
    <row r="344" spans="8:8" ht="35.15" customHeight="1" x14ac:dyDescent="0.35">
      <c r="H344" s="1"/>
    </row>
    <row r="345" spans="8:8" ht="35.15" customHeight="1" x14ac:dyDescent="0.35">
      <c r="H345" s="1"/>
    </row>
    <row r="346" spans="8:8" ht="35.15" customHeight="1" x14ac:dyDescent="0.35">
      <c r="H346" s="1"/>
    </row>
    <row r="347" spans="8:8" ht="35.15" customHeight="1" x14ac:dyDescent="0.35">
      <c r="H347" s="1"/>
    </row>
    <row r="348" spans="8:8" ht="35.15" customHeight="1" x14ac:dyDescent="0.35">
      <c r="H348" s="1"/>
    </row>
    <row r="349" spans="8:8" ht="35.15" customHeight="1" x14ac:dyDescent="0.35">
      <c r="H349" s="1"/>
    </row>
    <row r="350" spans="8:8" ht="35.15" customHeight="1" x14ac:dyDescent="0.35">
      <c r="H350" s="1"/>
    </row>
    <row r="351" spans="8:8" ht="35.15" customHeight="1" x14ac:dyDescent="0.35">
      <c r="H351" s="1"/>
    </row>
    <row r="352" spans="8:8" ht="35.15" customHeight="1" x14ac:dyDescent="0.35">
      <c r="H352" s="1"/>
    </row>
    <row r="353" spans="8:8" ht="35.15" customHeight="1" x14ac:dyDescent="0.35">
      <c r="H353" s="1"/>
    </row>
    <row r="354" spans="8:8" ht="35.15" customHeight="1" x14ac:dyDescent="0.35">
      <c r="H354" s="1"/>
    </row>
    <row r="355" spans="8:8" ht="35.15" customHeight="1" x14ac:dyDescent="0.35">
      <c r="H355" s="1"/>
    </row>
    <row r="356" spans="8:8" ht="35.15" customHeight="1" x14ac:dyDescent="0.35">
      <c r="H356" s="1"/>
    </row>
    <row r="357" spans="8:8" ht="35.15" customHeight="1" x14ac:dyDescent="0.35">
      <c r="H357" s="1"/>
    </row>
    <row r="358" spans="8:8" ht="35.15" customHeight="1" x14ac:dyDescent="0.35">
      <c r="H358" s="1"/>
    </row>
    <row r="359" spans="8:8" ht="35.15" customHeight="1" x14ac:dyDescent="0.35">
      <c r="H359" s="1"/>
    </row>
    <row r="360" spans="8:8" ht="35.15" customHeight="1" x14ac:dyDescent="0.35">
      <c r="H360" s="1"/>
    </row>
    <row r="361" spans="8:8" ht="35.15" customHeight="1" x14ac:dyDescent="0.35">
      <c r="H361" s="1"/>
    </row>
    <row r="362" spans="8:8" ht="35.15" customHeight="1" x14ac:dyDescent="0.35">
      <c r="H362" s="1"/>
    </row>
    <row r="363" spans="8:8" ht="35.15" customHeight="1" x14ac:dyDescent="0.35">
      <c r="H363" s="1"/>
    </row>
    <row r="364" spans="8:8" ht="35.15" customHeight="1" x14ac:dyDescent="0.35">
      <c r="H364" s="1"/>
    </row>
    <row r="365" spans="8:8" ht="35.15" customHeight="1" x14ac:dyDescent="0.35">
      <c r="H365" s="1"/>
    </row>
    <row r="366" spans="8:8" ht="35.15" customHeight="1" x14ac:dyDescent="0.35">
      <c r="H366" s="1"/>
    </row>
    <row r="367" spans="8:8" ht="35.15" customHeight="1" x14ac:dyDescent="0.35">
      <c r="H367" s="1"/>
    </row>
    <row r="368" spans="8:8" ht="35.15" customHeight="1" x14ac:dyDescent="0.35">
      <c r="H368" s="1"/>
    </row>
    <row r="369" spans="8:8" ht="35.15" customHeight="1" x14ac:dyDescent="0.35">
      <c r="H369" s="1"/>
    </row>
    <row r="370" spans="8:8" ht="35.15" customHeight="1" x14ac:dyDescent="0.35">
      <c r="H370" s="1"/>
    </row>
    <row r="371" spans="8:8" ht="35.15" customHeight="1" x14ac:dyDescent="0.35">
      <c r="H371" s="1"/>
    </row>
    <row r="372" spans="8:8" ht="35.15" customHeight="1" x14ac:dyDescent="0.35">
      <c r="H372" s="1"/>
    </row>
    <row r="373" spans="8:8" ht="35.15" customHeight="1" x14ac:dyDescent="0.35">
      <c r="H373" s="1"/>
    </row>
    <row r="374" spans="8:8" ht="35.15" customHeight="1" x14ac:dyDescent="0.35">
      <c r="H374" s="1"/>
    </row>
    <row r="375" spans="8:8" ht="35.15" customHeight="1" x14ac:dyDescent="0.35">
      <c r="H375" s="1"/>
    </row>
    <row r="376" spans="8:8" ht="35.15" customHeight="1" x14ac:dyDescent="0.35">
      <c r="H376" s="1"/>
    </row>
    <row r="377" spans="8:8" ht="35.15" customHeight="1" x14ac:dyDescent="0.35">
      <c r="H377" s="1"/>
    </row>
    <row r="378" spans="8:8" ht="35.15" customHeight="1" x14ac:dyDescent="0.35">
      <c r="H378" s="1"/>
    </row>
    <row r="379" spans="8:8" ht="35.15" customHeight="1" x14ac:dyDescent="0.35">
      <c r="H379" s="1"/>
    </row>
    <row r="380" spans="8:8" ht="35.15" customHeight="1" x14ac:dyDescent="0.35">
      <c r="H380" s="1"/>
    </row>
    <row r="381" spans="8:8" ht="35.15" customHeight="1" x14ac:dyDescent="0.35">
      <c r="H381" s="1"/>
    </row>
    <row r="382" spans="8:8" ht="35.15" customHeight="1" x14ac:dyDescent="0.35">
      <c r="H382" s="1"/>
    </row>
    <row r="383" spans="8:8" ht="35.15" customHeight="1" x14ac:dyDescent="0.35">
      <c r="H383" s="1"/>
    </row>
    <row r="384" spans="8:8" ht="35.15" customHeight="1" x14ac:dyDescent="0.35">
      <c r="H384" s="1"/>
    </row>
    <row r="385" spans="1:600" ht="35.15" customHeight="1" x14ac:dyDescent="0.35">
      <c r="H385" s="1"/>
    </row>
    <row r="386" spans="1:600" ht="35.15" customHeight="1" x14ac:dyDescent="0.35">
      <c r="H386" s="1"/>
    </row>
    <row r="387" spans="1:600" ht="35.15" customHeight="1" x14ac:dyDescent="0.35">
      <c r="H387" s="1"/>
    </row>
    <row r="388" spans="1:600" ht="35.15" customHeight="1" x14ac:dyDescent="0.35">
      <c r="H388" s="1"/>
    </row>
    <row r="389" spans="1:600" ht="35.15" customHeight="1" x14ac:dyDescent="0.35">
      <c r="H389" s="1"/>
    </row>
    <row r="390" spans="1:600" ht="35.15" customHeight="1" x14ac:dyDescent="0.3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</row>
    <row r="391" spans="1:600" ht="35.15" customHeight="1" x14ac:dyDescent="0.35">
      <c r="H391" s="1"/>
    </row>
    <row r="392" spans="1:600" ht="35.15" customHeight="1" x14ac:dyDescent="0.35">
      <c r="H392" s="1"/>
    </row>
    <row r="393" spans="1:600" ht="35.15" customHeight="1" x14ac:dyDescent="0.35">
      <c r="H393" s="1"/>
    </row>
    <row r="394" spans="1:600" ht="35.15" customHeight="1" x14ac:dyDescent="0.35">
      <c r="H394" s="1"/>
    </row>
    <row r="395" spans="1:600" ht="35.15" customHeight="1" x14ac:dyDescent="0.35">
      <c r="H395" s="1"/>
    </row>
    <row r="396" spans="1:600" ht="35.15" customHeight="1" x14ac:dyDescent="0.35">
      <c r="H396" s="1"/>
    </row>
    <row r="397" spans="1:600" ht="35.15" customHeight="1" x14ac:dyDescent="0.35">
      <c r="H397" s="1"/>
    </row>
    <row r="398" spans="1:600" ht="35.15" customHeight="1" x14ac:dyDescent="0.35">
      <c r="H398" s="1"/>
    </row>
    <row r="399" spans="1:600" ht="35.15" customHeight="1" x14ac:dyDescent="0.35">
      <c r="H399" s="1"/>
    </row>
    <row r="400" spans="1:600" ht="35.15" customHeight="1" x14ac:dyDescent="0.35">
      <c r="H400" s="1"/>
    </row>
    <row r="401" spans="8:8" ht="35.15" customHeight="1" x14ac:dyDescent="0.35">
      <c r="H401" s="1"/>
    </row>
    <row r="402" spans="8:8" ht="35.15" customHeight="1" x14ac:dyDescent="0.35">
      <c r="H402" s="1"/>
    </row>
    <row r="403" spans="8:8" ht="35.15" customHeight="1" x14ac:dyDescent="0.35">
      <c r="H403" s="1"/>
    </row>
    <row r="404" spans="8:8" ht="35.15" customHeight="1" x14ac:dyDescent="0.35">
      <c r="H404" s="1"/>
    </row>
    <row r="405" spans="8:8" ht="35.15" customHeight="1" x14ac:dyDescent="0.35">
      <c r="H405" s="1"/>
    </row>
    <row r="406" spans="8:8" ht="35.15" customHeight="1" x14ac:dyDescent="0.35">
      <c r="H406" s="1"/>
    </row>
    <row r="407" spans="8:8" ht="35.15" customHeight="1" x14ac:dyDescent="0.35">
      <c r="H407" s="1"/>
    </row>
    <row r="408" spans="8:8" ht="35.15" customHeight="1" x14ac:dyDescent="0.35">
      <c r="H408" s="1"/>
    </row>
    <row r="409" spans="8:8" ht="35.15" customHeight="1" x14ac:dyDescent="0.35">
      <c r="H409" s="1"/>
    </row>
    <row r="410" spans="8:8" ht="35.15" customHeight="1" x14ac:dyDescent="0.35">
      <c r="H410" s="1"/>
    </row>
    <row r="411" spans="8:8" ht="35.15" customHeight="1" x14ac:dyDescent="0.35">
      <c r="H411" s="1"/>
    </row>
    <row r="412" spans="8:8" ht="35.15" customHeight="1" x14ac:dyDescent="0.35">
      <c r="H412" s="1"/>
    </row>
    <row r="413" spans="8:8" ht="35.15" customHeight="1" x14ac:dyDescent="0.35">
      <c r="H413" s="1"/>
    </row>
    <row r="414" spans="8:8" ht="35.15" customHeight="1" x14ac:dyDescent="0.35">
      <c r="H414" s="1"/>
    </row>
    <row r="415" spans="8:8" ht="35.15" customHeight="1" x14ac:dyDescent="0.35">
      <c r="H415" s="1"/>
    </row>
    <row r="416" spans="8:8" ht="35.15" customHeight="1" x14ac:dyDescent="0.35">
      <c r="H416" s="1"/>
    </row>
    <row r="417" spans="8:8" ht="35.15" customHeight="1" x14ac:dyDescent="0.35">
      <c r="H417" s="1"/>
    </row>
    <row r="418" spans="8:8" ht="35.15" customHeight="1" x14ac:dyDescent="0.35">
      <c r="H418" s="1"/>
    </row>
    <row r="419" spans="8:8" ht="35.15" customHeight="1" x14ac:dyDescent="0.35">
      <c r="H419" s="1"/>
    </row>
    <row r="420" spans="8:8" ht="35.15" customHeight="1" x14ac:dyDescent="0.35">
      <c r="H420" s="1"/>
    </row>
    <row r="421" spans="8:8" ht="35.15" customHeight="1" x14ac:dyDescent="0.35">
      <c r="H421" s="1"/>
    </row>
    <row r="422" spans="8:8" ht="35.15" customHeight="1" x14ac:dyDescent="0.35">
      <c r="H422" s="1"/>
    </row>
    <row r="423" spans="8:8" ht="35.15" customHeight="1" x14ac:dyDescent="0.35">
      <c r="H423" s="1"/>
    </row>
    <row r="424" spans="8:8" ht="35.15" customHeight="1" x14ac:dyDescent="0.35">
      <c r="H424" s="1"/>
    </row>
    <row r="425" spans="8:8" ht="35.15" customHeight="1" x14ac:dyDescent="0.35">
      <c r="H425" s="1"/>
    </row>
    <row r="426" spans="8:8" ht="35.15" customHeight="1" x14ac:dyDescent="0.35">
      <c r="H426" s="1"/>
    </row>
    <row r="427" spans="8:8" ht="35.15" customHeight="1" x14ac:dyDescent="0.35">
      <c r="H427" s="1"/>
    </row>
    <row r="428" spans="8:8" ht="35.15" customHeight="1" x14ac:dyDescent="0.35">
      <c r="H428" s="1"/>
    </row>
    <row r="429" spans="8:8" ht="35.15" customHeight="1" x14ac:dyDescent="0.35">
      <c r="H429" s="1"/>
    </row>
    <row r="430" spans="8:8" ht="35.15" customHeight="1" x14ac:dyDescent="0.35">
      <c r="H430" s="1"/>
    </row>
    <row r="431" spans="8:8" ht="35.15" customHeight="1" x14ac:dyDescent="0.35">
      <c r="H431" s="1"/>
    </row>
    <row r="432" spans="8:8" ht="35.15" customHeight="1" x14ac:dyDescent="0.35">
      <c r="H432" s="1"/>
    </row>
    <row r="433" spans="8:8" ht="35.15" customHeight="1" x14ac:dyDescent="0.35">
      <c r="H433" s="1"/>
    </row>
    <row r="434" spans="8:8" ht="35.15" customHeight="1" x14ac:dyDescent="0.35">
      <c r="H434" s="1"/>
    </row>
    <row r="435" spans="8:8" ht="35.15" customHeight="1" x14ac:dyDescent="0.35">
      <c r="H435" s="1"/>
    </row>
    <row r="436" spans="8:8" ht="35.15" customHeight="1" x14ac:dyDescent="0.35">
      <c r="H436" s="1"/>
    </row>
    <row r="437" spans="8:8" ht="35.15" customHeight="1" x14ac:dyDescent="0.35">
      <c r="H437" s="1"/>
    </row>
    <row r="438" spans="8:8" ht="35.15" customHeight="1" x14ac:dyDescent="0.35">
      <c r="H438" s="1"/>
    </row>
    <row r="439" spans="8:8" ht="35.15" customHeight="1" x14ac:dyDescent="0.35">
      <c r="H439" s="1"/>
    </row>
    <row r="440" spans="8:8" ht="35.15" customHeight="1" x14ac:dyDescent="0.35">
      <c r="H440" s="1"/>
    </row>
    <row r="441" spans="8:8" ht="35.15" customHeight="1" x14ac:dyDescent="0.35">
      <c r="H441" s="1"/>
    </row>
    <row r="442" spans="8:8" ht="35.15" customHeight="1" x14ac:dyDescent="0.35">
      <c r="H442" s="1"/>
    </row>
    <row r="443" spans="8:8" ht="35.15" customHeight="1" x14ac:dyDescent="0.35">
      <c r="H443" s="1"/>
    </row>
    <row r="444" spans="8:8" ht="35.15" customHeight="1" x14ac:dyDescent="0.35">
      <c r="H444" s="1"/>
    </row>
    <row r="445" spans="8:8" ht="35.15" customHeight="1" x14ac:dyDescent="0.35">
      <c r="H445" s="1"/>
    </row>
    <row r="446" spans="8:8" ht="35.15" customHeight="1" x14ac:dyDescent="0.35">
      <c r="H446" s="1"/>
    </row>
    <row r="447" spans="8:8" ht="35.15" customHeight="1" x14ac:dyDescent="0.35">
      <c r="H447" s="1"/>
    </row>
    <row r="448" spans="8:8" ht="35.15" customHeight="1" x14ac:dyDescent="0.35">
      <c r="H448" s="1"/>
    </row>
    <row r="449" spans="1:600" ht="35.15" customHeight="1" x14ac:dyDescent="0.35">
      <c r="H449" s="1"/>
    </row>
    <row r="450" spans="1:600" ht="35.15" customHeight="1" x14ac:dyDescent="0.35">
      <c r="H450" s="1"/>
    </row>
    <row r="451" spans="1:600" ht="35.15" customHeight="1" x14ac:dyDescent="0.35">
      <c r="H451" s="1"/>
    </row>
    <row r="452" spans="1:600" ht="35.15" customHeight="1" x14ac:dyDescent="0.35">
      <c r="H452" s="1"/>
    </row>
    <row r="453" spans="1:600" ht="35.15" customHeight="1" x14ac:dyDescent="0.35">
      <c r="H453" s="1"/>
    </row>
    <row r="454" spans="1:600" ht="35.15" customHeight="1" x14ac:dyDescent="0.35">
      <c r="H454" s="1"/>
    </row>
    <row r="455" spans="1:600" ht="35.15" customHeight="1" x14ac:dyDescent="0.35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</row>
    <row r="456" spans="1:600" ht="35.15" customHeight="1" x14ac:dyDescent="0.35">
      <c r="H456" s="1"/>
    </row>
    <row r="457" spans="1:600" ht="35.15" customHeight="1" x14ac:dyDescent="0.35">
      <c r="H457" s="1"/>
    </row>
    <row r="458" spans="1:600" ht="35.15" customHeight="1" x14ac:dyDescent="0.35">
      <c r="H458" s="1"/>
    </row>
    <row r="459" spans="1:600" ht="35.15" customHeight="1" x14ac:dyDescent="0.35">
      <c r="H459" s="1"/>
    </row>
    <row r="460" spans="1:600" ht="35.15" customHeight="1" x14ac:dyDescent="0.35">
      <c r="H460" s="1"/>
    </row>
    <row r="461" spans="1:600" ht="35.15" customHeight="1" x14ac:dyDescent="0.35">
      <c r="H461" s="1"/>
    </row>
    <row r="462" spans="1:600" ht="35.15" customHeight="1" x14ac:dyDescent="0.35">
      <c r="H462" s="1"/>
    </row>
    <row r="463" spans="1:600" ht="35.15" customHeight="1" x14ac:dyDescent="0.35">
      <c r="H463" s="1"/>
    </row>
    <row r="464" spans="1:600" ht="35.15" customHeight="1" x14ac:dyDescent="0.35">
      <c r="H464" s="1"/>
    </row>
    <row r="465" spans="8:8" ht="35.15" customHeight="1" x14ac:dyDescent="0.35">
      <c r="H465" s="1"/>
    </row>
    <row r="466" spans="8:8" ht="35.15" customHeight="1" x14ac:dyDescent="0.35">
      <c r="H466" s="1"/>
    </row>
    <row r="467" spans="8:8" ht="35.15" customHeight="1" x14ac:dyDescent="0.35">
      <c r="H467" s="1"/>
    </row>
    <row r="468" spans="8:8" ht="35.15" customHeight="1" x14ac:dyDescent="0.35">
      <c r="H468" s="1"/>
    </row>
    <row r="469" spans="8:8" ht="35.15" customHeight="1" x14ac:dyDescent="0.35">
      <c r="H469" s="1"/>
    </row>
    <row r="470" spans="8:8" ht="35.15" customHeight="1" x14ac:dyDescent="0.35">
      <c r="H470" s="1"/>
    </row>
    <row r="471" spans="8:8" ht="35.15" customHeight="1" x14ac:dyDescent="0.35">
      <c r="H471" s="1"/>
    </row>
    <row r="472" spans="8:8" ht="35.15" customHeight="1" x14ac:dyDescent="0.35">
      <c r="H472" s="1"/>
    </row>
    <row r="473" spans="8:8" ht="35.15" customHeight="1" x14ac:dyDescent="0.35">
      <c r="H473" s="1"/>
    </row>
    <row r="474" spans="8:8" ht="35.15" customHeight="1" x14ac:dyDescent="0.35">
      <c r="H474" s="1"/>
    </row>
    <row r="475" spans="8:8" ht="35.15" customHeight="1" x14ac:dyDescent="0.35">
      <c r="H475" s="1"/>
    </row>
    <row r="476" spans="8:8" ht="35.15" customHeight="1" x14ac:dyDescent="0.35">
      <c r="H476" s="1"/>
    </row>
    <row r="477" spans="8:8" ht="35.15" customHeight="1" x14ac:dyDescent="0.35">
      <c r="H477" s="1"/>
    </row>
    <row r="478" spans="8:8" ht="35.15" customHeight="1" x14ac:dyDescent="0.35">
      <c r="H478" s="1"/>
    </row>
    <row r="479" spans="8:8" ht="35.15" customHeight="1" x14ac:dyDescent="0.35">
      <c r="H479" s="1"/>
    </row>
    <row r="480" spans="8:8" ht="35.15" customHeight="1" x14ac:dyDescent="0.35">
      <c r="H480" s="1"/>
    </row>
    <row r="481" spans="8:8" ht="35.15" customHeight="1" x14ac:dyDescent="0.35">
      <c r="H481" s="1"/>
    </row>
    <row r="482" spans="8:8" ht="35.15" customHeight="1" x14ac:dyDescent="0.35">
      <c r="H482" s="1"/>
    </row>
    <row r="483" spans="8:8" ht="35.15" customHeight="1" x14ac:dyDescent="0.35">
      <c r="H483" s="1"/>
    </row>
    <row r="484" spans="8:8" ht="35.15" customHeight="1" x14ac:dyDescent="0.35">
      <c r="H484" s="1"/>
    </row>
    <row r="485" spans="8:8" ht="35.15" customHeight="1" x14ac:dyDescent="0.35">
      <c r="H485" s="1"/>
    </row>
    <row r="486" spans="8:8" ht="35.15" customHeight="1" x14ac:dyDescent="0.35">
      <c r="H486" s="1"/>
    </row>
    <row r="487" spans="8:8" ht="35.15" customHeight="1" x14ac:dyDescent="0.35">
      <c r="H487" s="1"/>
    </row>
    <row r="488" spans="8:8" ht="35.15" customHeight="1" x14ac:dyDescent="0.35">
      <c r="H488" s="1"/>
    </row>
    <row r="489" spans="8:8" ht="35.15" customHeight="1" x14ac:dyDescent="0.35">
      <c r="H489" s="1"/>
    </row>
    <row r="490" spans="8:8" ht="35.15" customHeight="1" x14ac:dyDescent="0.35">
      <c r="H490" s="1"/>
    </row>
    <row r="491" spans="8:8" ht="35.15" customHeight="1" x14ac:dyDescent="0.35">
      <c r="H491" s="1"/>
    </row>
    <row r="492" spans="8:8" ht="35.15" customHeight="1" x14ac:dyDescent="0.35">
      <c r="H492" s="1"/>
    </row>
    <row r="493" spans="8:8" ht="35.15" customHeight="1" x14ac:dyDescent="0.35">
      <c r="H493" s="1"/>
    </row>
    <row r="494" spans="8:8" ht="35.15" customHeight="1" x14ac:dyDescent="0.35">
      <c r="H494" s="1"/>
    </row>
    <row r="495" spans="8:8" ht="35.15" customHeight="1" x14ac:dyDescent="0.35">
      <c r="H495" s="1"/>
    </row>
    <row r="496" spans="8:8" ht="35.15" customHeight="1" x14ac:dyDescent="0.35">
      <c r="H496" s="1"/>
    </row>
    <row r="497" spans="8:8" ht="35.15" customHeight="1" x14ac:dyDescent="0.35">
      <c r="H497" s="1"/>
    </row>
    <row r="498" spans="8:8" ht="35.15" customHeight="1" x14ac:dyDescent="0.35">
      <c r="H498" s="1"/>
    </row>
    <row r="499" spans="8:8" ht="35.15" customHeight="1" x14ac:dyDescent="0.35">
      <c r="H499" s="1"/>
    </row>
    <row r="500" spans="8:8" ht="35.15" customHeight="1" x14ac:dyDescent="0.35">
      <c r="H500" s="1"/>
    </row>
    <row r="501" spans="8:8" ht="35.15" customHeight="1" x14ac:dyDescent="0.35">
      <c r="H501" s="1"/>
    </row>
    <row r="502" spans="8:8" ht="35.15" customHeight="1" x14ac:dyDescent="0.35">
      <c r="H502" s="1"/>
    </row>
    <row r="503" spans="8:8" ht="35.15" customHeight="1" x14ac:dyDescent="0.35">
      <c r="H503" s="1"/>
    </row>
    <row r="504" spans="8:8" ht="35.15" customHeight="1" x14ac:dyDescent="0.35">
      <c r="H504" s="1"/>
    </row>
    <row r="505" spans="8:8" ht="35.15" customHeight="1" x14ac:dyDescent="0.35">
      <c r="H505" s="1"/>
    </row>
    <row r="506" spans="8:8" ht="35.15" customHeight="1" x14ac:dyDescent="0.35">
      <c r="H506" s="1"/>
    </row>
    <row r="507" spans="8:8" ht="35.15" customHeight="1" x14ac:dyDescent="0.35">
      <c r="H507" s="1"/>
    </row>
    <row r="508" spans="8:8" ht="35.15" customHeight="1" x14ac:dyDescent="0.35">
      <c r="H508" s="1"/>
    </row>
    <row r="509" spans="8:8" ht="35.15" customHeight="1" x14ac:dyDescent="0.35">
      <c r="H509" s="1"/>
    </row>
    <row r="510" spans="8:8" ht="35.15" customHeight="1" x14ac:dyDescent="0.35">
      <c r="H510" s="1"/>
    </row>
    <row r="511" spans="8:8" ht="35.15" customHeight="1" x14ac:dyDescent="0.35">
      <c r="H511" s="1"/>
    </row>
    <row r="512" spans="8:8" ht="35.15" customHeight="1" x14ac:dyDescent="0.35">
      <c r="H512" s="1"/>
    </row>
    <row r="513" spans="1:600" ht="35.15" customHeight="1" x14ac:dyDescent="0.35">
      <c r="H513" s="1"/>
    </row>
    <row r="514" spans="1:600" ht="35.15" customHeight="1" x14ac:dyDescent="0.35">
      <c r="H514" s="1"/>
    </row>
    <row r="515" spans="1:600" ht="35.15" customHeight="1" x14ac:dyDescent="0.35">
      <c r="H515" s="1"/>
    </row>
    <row r="516" spans="1:600" ht="35.15" customHeight="1" x14ac:dyDescent="0.35">
      <c r="H516" s="1"/>
    </row>
    <row r="517" spans="1:600" ht="35.15" customHeight="1" x14ac:dyDescent="0.35">
      <c r="H517" s="1"/>
    </row>
    <row r="518" spans="1:600" ht="35.15" customHeight="1" x14ac:dyDescent="0.35">
      <c r="H518" s="1"/>
    </row>
    <row r="519" spans="1:600" ht="35.15" customHeight="1" x14ac:dyDescent="0.35">
      <c r="H519" s="1"/>
    </row>
    <row r="520" spans="1:600" ht="35.15" customHeight="1" x14ac:dyDescent="0.35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</row>
    <row r="551" spans="15:40" x14ac:dyDescent="0.35">
      <c r="O551" s="33"/>
      <c r="P551" s="33"/>
      <c r="Q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</row>
    <row r="552" spans="15:40" x14ac:dyDescent="0.35">
      <c r="O552" s="33"/>
      <c r="P552" s="33"/>
      <c r="Q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</row>
    <row r="581" spans="1:600" ht="79.25" customHeight="1" x14ac:dyDescent="0.35">
      <c r="I581" s="33"/>
      <c r="J581" s="33"/>
      <c r="K581" s="33"/>
      <c r="L581" s="33"/>
      <c r="M581" s="33"/>
      <c r="N581" s="33"/>
      <c r="AO581" s="33"/>
      <c r="AP581" s="33"/>
      <c r="AQ581" s="33"/>
      <c r="AR581" s="33"/>
      <c r="AS581" s="33"/>
      <c r="AT581" s="33"/>
    </row>
    <row r="582" spans="1:600" ht="79.25" customHeight="1" x14ac:dyDescent="0.35">
      <c r="I582" s="33"/>
      <c r="J582" s="33"/>
      <c r="K582" s="33"/>
      <c r="L582" s="33"/>
      <c r="M582" s="33"/>
      <c r="N582" s="33"/>
      <c r="AO582" s="33"/>
      <c r="AP582" s="33"/>
      <c r="AQ582" s="33"/>
      <c r="AR582" s="33"/>
      <c r="AS582" s="33"/>
      <c r="AT582" s="33"/>
    </row>
    <row r="585" spans="1:600" x14ac:dyDescent="0.35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</row>
    <row r="650" spans="1:600" x14ac:dyDescent="0.35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</row>
    <row r="715" spans="1:600" x14ac:dyDescent="0.35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</row>
    <row r="780" spans="1:600" x14ac:dyDescent="0.35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</row>
    <row r="845" spans="1:600" x14ac:dyDescent="0.35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</row>
    <row r="910" spans="1:600" x14ac:dyDescent="0.35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</row>
    <row r="975" spans="1:600" x14ac:dyDescent="0.35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</row>
    <row r="1040" spans="1:600" x14ac:dyDescent="0.35">
      <c r="A1040" s="34"/>
      <c r="B1040" s="34"/>
      <c r="C1040" s="34"/>
      <c r="D1040" s="34"/>
      <c r="E1040" s="34"/>
      <c r="F1040" s="34"/>
      <c r="G1040" s="34"/>
      <c r="H1040" s="34"/>
      <c r="I1040" s="34"/>
      <c r="J1040" s="34"/>
      <c r="K1040" s="34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34"/>
      <c r="DV1040" s="34"/>
      <c r="DW1040" s="34"/>
      <c r="DX1040" s="34"/>
      <c r="DY1040" s="34"/>
      <c r="DZ1040" s="34"/>
      <c r="EA1040" s="34"/>
      <c r="EB1040" s="34"/>
      <c r="EC1040" s="34"/>
      <c r="ED1040" s="34"/>
      <c r="EE1040" s="34"/>
      <c r="EF1040" s="34"/>
      <c r="EG1040" s="34"/>
      <c r="EH1040" s="34"/>
      <c r="EI1040" s="34"/>
      <c r="EJ1040" s="34"/>
      <c r="EK1040" s="34"/>
      <c r="EL1040" s="34"/>
      <c r="EM1040" s="34"/>
      <c r="EN1040" s="34"/>
      <c r="EO1040" s="34"/>
      <c r="EP1040" s="34"/>
      <c r="EQ1040" s="34"/>
      <c r="ER1040" s="34"/>
      <c r="ES1040" s="34"/>
      <c r="ET1040" s="34"/>
      <c r="EU1040" s="34"/>
      <c r="EV1040" s="34"/>
      <c r="EW1040" s="34"/>
      <c r="EX1040" s="34"/>
      <c r="EY1040" s="34"/>
      <c r="EZ1040" s="34"/>
      <c r="FA1040" s="34"/>
      <c r="FB1040" s="34"/>
      <c r="FC1040" s="34"/>
      <c r="FD1040" s="34"/>
      <c r="FE1040" s="34"/>
      <c r="FF1040" s="34"/>
      <c r="FG1040" s="34"/>
      <c r="FH1040" s="34"/>
      <c r="FI1040" s="34"/>
      <c r="FJ1040" s="34"/>
      <c r="FK1040" s="34"/>
      <c r="FL1040" s="34"/>
      <c r="FM1040" s="34"/>
      <c r="FN1040" s="34"/>
      <c r="FO1040" s="34"/>
      <c r="FP1040" s="34"/>
      <c r="FQ1040" s="34"/>
      <c r="FR1040" s="34"/>
      <c r="FS1040" s="34"/>
      <c r="FT1040" s="34"/>
      <c r="FU1040" s="34"/>
      <c r="FV1040" s="34"/>
      <c r="FW1040" s="34"/>
      <c r="FX1040" s="34"/>
      <c r="FY1040" s="34"/>
      <c r="FZ1040" s="34"/>
      <c r="GA1040" s="34"/>
      <c r="GB1040" s="34"/>
      <c r="GC1040" s="34"/>
      <c r="GD1040" s="34"/>
      <c r="GE1040" s="34"/>
      <c r="GF1040" s="34"/>
      <c r="GG1040" s="34"/>
      <c r="GH1040" s="34"/>
      <c r="GI1040" s="34"/>
      <c r="GJ1040" s="34"/>
      <c r="GK1040" s="34"/>
      <c r="GL1040" s="34"/>
      <c r="GM1040" s="34"/>
      <c r="GN1040" s="34"/>
      <c r="GO1040" s="34"/>
      <c r="GP1040" s="34"/>
      <c r="GQ1040" s="34"/>
      <c r="GR1040" s="34"/>
      <c r="GS1040" s="34"/>
      <c r="GT1040" s="34"/>
      <c r="GU1040" s="34"/>
      <c r="GV1040" s="34"/>
      <c r="GW1040" s="34"/>
      <c r="GX1040" s="34"/>
      <c r="GY1040" s="34"/>
      <c r="GZ1040" s="34"/>
      <c r="HA1040" s="34"/>
      <c r="HB1040" s="34"/>
      <c r="HC1040" s="34"/>
      <c r="HD1040" s="34"/>
      <c r="HE1040" s="34"/>
      <c r="HF1040" s="34"/>
      <c r="HG1040" s="34"/>
      <c r="HH1040" s="34"/>
      <c r="HI1040" s="34"/>
      <c r="HJ1040" s="34"/>
      <c r="HK1040" s="34"/>
      <c r="HL1040" s="34"/>
      <c r="HM1040" s="34"/>
      <c r="HN1040" s="34"/>
      <c r="HO1040" s="34"/>
      <c r="HP1040" s="34"/>
      <c r="HQ1040" s="34"/>
      <c r="HR1040" s="34"/>
      <c r="HS1040" s="34"/>
      <c r="HT1040" s="34"/>
      <c r="HU1040" s="34"/>
      <c r="HV1040" s="34"/>
      <c r="HW1040" s="34"/>
      <c r="HX1040" s="34"/>
      <c r="HY1040" s="34"/>
      <c r="HZ1040" s="34"/>
      <c r="IA1040" s="34"/>
      <c r="IB1040" s="34"/>
      <c r="IC1040" s="34"/>
      <c r="ID1040" s="34"/>
      <c r="IE1040" s="34"/>
      <c r="IF1040" s="34"/>
      <c r="IG1040" s="34"/>
      <c r="IH1040" s="34"/>
      <c r="II1040" s="34"/>
      <c r="IJ1040" s="34"/>
      <c r="IK1040" s="34"/>
      <c r="IL1040" s="34"/>
      <c r="IM1040" s="34"/>
      <c r="IN1040" s="34"/>
      <c r="IO1040" s="34"/>
      <c r="IP1040" s="34"/>
      <c r="IQ1040" s="34"/>
      <c r="IR1040" s="34"/>
      <c r="IS1040" s="34"/>
      <c r="IT1040" s="34"/>
      <c r="IU1040" s="34"/>
      <c r="IV1040" s="34"/>
      <c r="IW1040" s="34"/>
      <c r="IX1040" s="34"/>
      <c r="IY1040" s="34"/>
      <c r="IZ1040" s="34"/>
      <c r="JA1040" s="34"/>
      <c r="JB1040" s="34"/>
      <c r="JC1040" s="34"/>
      <c r="JD1040" s="34"/>
      <c r="JE1040" s="34"/>
      <c r="JF1040" s="34"/>
      <c r="JG1040" s="34"/>
      <c r="JH1040" s="34"/>
      <c r="JI1040" s="34"/>
      <c r="JJ1040" s="34"/>
      <c r="JK1040" s="34"/>
      <c r="JL1040" s="34"/>
      <c r="JM1040" s="34"/>
      <c r="JN1040" s="34"/>
      <c r="JO1040" s="34"/>
      <c r="JP1040" s="34"/>
      <c r="JQ1040" s="34"/>
      <c r="JR1040" s="34"/>
      <c r="JS1040" s="34"/>
      <c r="JT1040" s="34"/>
      <c r="JU1040" s="34"/>
      <c r="JV1040" s="34"/>
      <c r="JW1040" s="34"/>
      <c r="JX1040" s="34"/>
      <c r="JY1040" s="34"/>
      <c r="JZ1040" s="34"/>
      <c r="KA1040" s="34"/>
      <c r="KB1040" s="34"/>
      <c r="KC1040" s="34"/>
      <c r="KD1040" s="34"/>
      <c r="KE1040" s="34"/>
      <c r="KF1040" s="34"/>
      <c r="KG1040" s="34"/>
      <c r="KH1040" s="34"/>
      <c r="KI1040" s="34"/>
      <c r="KJ1040" s="34"/>
      <c r="KK1040" s="34"/>
      <c r="KL1040" s="34"/>
      <c r="KM1040" s="34"/>
      <c r="KN1040" s="34"/>
      <c r="KO1040" s="34"/>
      <c r="KP1040" s="34"/>
      <c r="KQ1040" s="34"/>
      <c r="KR1040" s="34"/>
      <c r="KS1040" s="34"/>
      <c r="KT1040" s="34"/>
      <c r="KU1040" s="34"/>
      <c r="KV1040" s="34"/>
      <c r="KW1040" s="34"/>
      <c r="KX1040" s="34"/>
      <c r="KY1040" s="34"/>
      <c r="KZ1040" s="34"/>
      <c r="LA1040" s="34"/>
      <c r="LB1040" s="34"/>
      <c r="LC1040" s="34"/>
      <c r="LD1040" s="34"/>
      <c r="LE1040" s="34"/>
      <c r="LF1040" s="34"/>
      <c r="LG1040" s="34"/>
      <c r="LH1040" s="34"/>
      <c r="LI1040" s="34"/>
      <c r="LJ1040" s="34"/>
      <c r="LK1040" s="34"/>
      <c r="LL1040" s="34"/>
      <c r="LM1040" s="34"/>
      <c r="LN1040" s="34"/>
      <c r="LO1040" s="34"/>
      <c r="LP1040" s="34"/>
      <c r="LQ1040" s="34"/>
      <c r="LR1040" s="34"/>
      <c r="LS1040" s="34"/>
      <c r="LT1040" s="34"/>
      <c r="LU1040" s="34"/>
      <c r="LV1040" s="34"/>
      <c r="LW1040" s="34"/>
      <c r="LX1040" s="34"/>
      <c r="LY1040" s="34"/>
      <c r="LZ1040" s="34"/>
      <c r="MA1040" s="34"/>
      <c r="MB1040" s="34"/>
      <c r="MC1040" s="34"/>
      <c r="MD1040" s="34"/>
      <c r="ME1040" s="34"/>
      <c r="MF1040" s="34"/>
      <c r="MG1040" s="34"/>
      <c r="MH1040" s="34"/>
      <c r="MI1040" s="34"/>
      <c r="MJ1040" s="34"/>
      <c r="MK1040" s="34"/>
      <c r="ML1040" s="34"/>
      <c r="MM1040" s="34"/>
      <c r="MN1040" s="34"/>
      <c r="MO1040" s="34"/>
      <c r="MP1040" s="34"/>
      <c r="MQ1040" s="34"/>
      <c r="MR1040" s="34"/>
      <c r="MS1040" s="34"/>
      <c r="MT1040" s="34"/>
      <c r="MU1040" s="34"/>
      <c r="MV1040" s="34"/>
      <c r="MW1040" s="34"/>
      <c r="MX1040" s="34"/>
      <c r="MY1040" s="34"/>
      <c r="MZ1040" s="34"/>
      <c r="NA1040" s="34"/>
      <c r="NB1040" s="34"/>
      <c r="NC1040" s="34"/>
      <c r="ND1040" s="34"/>
      <c r="NE1040" s="34"/>
      <c r="NF1040" s="34"/>
      <c r="NG1040" s="34"/>
      <c r="NH1040" s="34"/>
      <c r="NI1040" s="34"/>
      <c r="NJ1040" s="34"/>
      <c r="NK1040" s="34"/>
      <c r="NL1040" s="34"/>
      <c r="NM1040" s="34"/>
      <c r="NN1040" s="34"/>
      <c r="NO1040" s="34"/>
      <c r="NP1040" s="34"/>
      <c r="NQ1040" s="34"/>
      <c r="NR1040" s="34"/>
      <c r="NS1040" s="34"/>
      <c r="NT1040" s="34"/>
      <c r="NU1040" s="34"/>
      <c r="NV1040" s="34"/>
      <c r="NW1040" s="34"/>
      <c r="NX1040" s="34"/>
      <c r="NY1040" s="34"/>
      <c r="NZ1040" s="34"/>
      <c r="OA1040" s="34"/>
      <c r="OB1040" s="34"/>
      <c r="OC1040" s="34"/>
      <c r="OD1040" s="34"/>
      <c r="OE1040" s="34"/>
      <c r="OF1040" s="34"/>
      <c r="OG1040" s="34"/>
      <c r="OH1040" s="34"/>
      <c r="OI1040" s="34"/>
      <c r="OJ1040" s="34"/>
      <c r="OK1040" s="34"/>
      <c r="OL1040" s="34"/>
      <c r="OM1040" s="34"/>
      <c r="ON1040" s="34"/>
      <c r="OO1040" s="34"/>
      <c r="OP1040" s="34"/>
      <c r="OQ1040" s="34"/>
      <c r="OR1040" s="34"/>
      <c r="OS1040" s="34"/>
      <c r="OT1040" s="34"/>
      <c r="OU1040" s="34"/>
      <c r="OV1040" s="34"/>
      <c r="OW1040" s="34"/>
      <c r="OX1040" s="34"/>
      <c r="OY1040" s="34"/>
      <c r="OZ1040" s="34"/>
      <c r="PA1040" s="34"/>
      <c r="PB1040" s="34"/>
      <c r="PC1040" s="34"/>
      <c r="PD1040" s="34"/>
      <c r="PE1040" s="34"/>
      <c r="PF1040" s="34"/>
      <c r="PG1040" s="34"/>
      <c r="PH1040" s="34"/>
      <c r="PI1040" s="34"/>
      <c r="PJ1040" s="34"/>
      <c r="PK1040" s="34"/>
      <c r="PL1040" s="34"/>
      <c r="PM1040" s="34"/>
      <c r="PN1040" s="34"/>
      <c r="PO1040" s="34"/>
      <c r="PP1040" s="34"/>
      <c r="PQ1040" s="34"/>
      <c r="PR1040" s="34"/>
      <c r="PS1040" s="34"/>
      <c r="PT1040" s="34"/>
      <c r="PU1040" s="34"/>
      <c r="PV1040" s="34"/>
      <c r="PW1040" s="34"/>
      <c r="PX1040" s="34"/>
      <c r="PY1040" s="34"/>
      <c r="PZ1040" s="34"/>
      <c r="QA1040" s="34"/>
      <c r="QB1040" s="34"/>
      <c r="QC1040" s="34"/>
      <c r="QD1040" s="34"/>
      <c r="QE1040" s="34"/>
      <c r="QF1040" s="34"/>
      <c r="QG1040" s="34"/>
      <c r="QH1040" s="34"/>
      <c r="QI1040" s="34"/>
      <c r="QJ1040" s="34"/>
      <c r="QK1040" s="34"/>
      <c r="QL1040" s="34"/>
      <c r="QM1040" s="34"/>
      <c r="QN1040" s="34"/>
      <c r="QO1040" s="34"/>
      <c r="QP1040" s="34"/>
      <c r="QQ1040" s="34"/>
      <c r="QR1040" s="34"/>
      <c r="QS1040" s="34"/>
      <c r="QT1040" s="34"/>
      <c r="QU1040" s="34"/>
      <c r="QV1040" s="34"/>
      <c r="QW1040" s="34"/>
      <c r="QX1040" s="34"/>
      <c r="QY1040" s="34"/>
      <c r="QZ1040" s="34"/>
      <c r="RA1040" s="34"/>
      <c r="RB1040" s="34"/>
      <c r="RC1040" s="34"/>
      <c r="RD1040" s="34"/>
      <c r="RE1040" s="34"/>
      <c r="RF1040" s="34"/>
      <c r="RG1040" s="34"/>
      <c r="RH1040" s="34"/>
      <c r="RI1040" s="34"/>
      <c r="RJ1040" s="34"/>
      <c r="RK1040" s="34"/>
      <c r="RL1040" s="34"/>
      <c r="RM1040" s="34"/>
      <c r="RN1040" s="34"/>
      <c r="RO1040" s="34"/>
      <c r="RP1040" s="34"/>
      <c r="RQ1040" s="34"/>
      <c r="RR1040" s="34"/>
      <c r="RS1040" s="34"/>
      <c r="RT1040" s="34"/>
      <c r="RU1040" s="34"/>
      <c r="RV1040" s="34"/>
      <c r="RW1040" s="34"/>
      <c r="RX1040" s="34"/>
      <c r="RY1040" s="34"/>
      <c r="RZ1040" s="34"/>
      <c r="SA1040" s="34"/>
      <c r="SB1040" s="34"/>
      <c r="SC1040" s="34"/>
      <c r="SD1040" s="34"/>
      <c r="SE1040" s="34"/>
      <c r="SF1040" s="34"/>
      <c r="SG1040" s="34"/>
      <c r="SH1040" s="34"/>
      <c r="SI1040" s="34"/>
      <c r="SJ1040" s="34"/>
      <c r="SK1040" s="34"/>
      <c r="SL1040" s="34"/>
      <c r="SM1040" s="34"/>
      <c r="SN1040" s="34"/>
      <c r="SO1040" s="34"/>
      <c r="SP1040" s="34"/>
      <c r="SQ1040" s="34"/>
      <c r="SR1040" s="34"/>
      <c r="SS1040" s="34"/>
      <c r="ST1040" s="34"/>
      <c r="SU1040" s="34"/>
      <c r="SV1040" s="34"/>
      <c r="SW1040" s="34"/>
      <c r="SX1040" s="34"/>
      <c r="SY1040" s="34"/>
      <c r="SZ1040" s="34"/>
      <c r="TA1040" s="34"/>
      <c r="TB1040" s="34"/>
      <c r="TC1040" s="34"/>
      <c r="TD1040" s="34"/>
      <c r="TE1040" s="34"/>
      <c r="TF1040" s="34"/>
      <c r="TG1040" s="34"/>
      <c r="TH1040" s="34"/>
      <c r="TI1040" s="34"/>
      <c r="TJ1040" s="34"/>
      <c r="TK1040" s="34"/>
      <c r="TL1040" s="34"/>
      <c r="TM1040" s="34"/>
      <c r="TN1040" s="34"/>
      <c r="TO1040" s="34"/>
      <c r="TP1040" s="34"/>
      <c r="TQ1040" s="34"/>
      <c r="TR1040" s="34"/>
      <c r="TS1040" s="34"/>
      <c r="TT1040" s="34"/>
      <c r="TU1040" s="34"/>
      <c r="TV1040" s="34"/>
      <c r="TW1040" s="34"/>
      <c r="TX1040" s="34"/>
      <c r="TY1040" s="34"/>
      <c r="TZ1040" s="34"/>
      <c r="UA1040" s="34"/>
      <c r="UB1040" s="34"/>
      <c r="UC1040" s="34"/>
      <c r="UD1040" s="34"/>
      <c r="UE1040" s="34"/>
      <c r="UF1040" s="34"/>
      <c r="UG1040" s="34"/>
      <c r="UH1040" s="34"/>
      <c r="UI1040" s="34"/>
      <c r="UJ1040" s="34"/>
      <c r="UK1040" s="34"/>
      <c r="UL1040" s="34"/>
      <c r="UM1040" s="34"/>
      <c r="UN1040" s="34"/>
      <c r="UO1040" s="34"/>
      <c r="UP1040" s="34"/>
      <c r="UQ1040" s="34"/>
      <c r="UR1040" s="34"/>
      <c r="US1040" s="34"/>
      <c r="UT1040" s="34"/>
      <c r="UU1040" s="34"/>
      <c r="UV1040" s="34"/>
      <c r="UW1040" s="34"/>
      <c r="UX1040" s="34"/>
      <c r="UY1040" s="34"/>
      <c r="UZ1040" s="34"/>
      <c r="VA1040" s="34"/>
      <c r="VB1040" s="34"/>
      <c r="VC1040" s="34"/>
      <c r="VD1040" s="34"/>
      <c r="VE1040" s="34"/>
      <c r="VF1040" s="34"/>
      <c r="VG1040" s="34"/>
      <c r="VH1040" s="34"/>
      <c r="VI1040" s="34"/>
      <c r="VJ1040" s="34"/>
      <c r="VK1040" s="34"/>
      <c r="VL1040" s="34"/>
      <c r="VM1040" s="34"/>
      <c r="VN1040" s="34"/>
      <c r="VO1040" s="34"/>
      <c r="VP1040" s="34"/>
      <c r="VQ1040" s="34"/>
      <c r="VR1040" s="34"/>
      <c r="VS1040" s="34"/>
      <c r="VT1040" s="34"/>
      <c r="VU1040" s="34"/>
      <c r="VV1040" s="34"/>
      <c r="VW1040" s="34"/>
      <c r="VX1040" s="34"/>
      <c r="VY1040" s="34"/>
      <c r="VZ1040" s="34"/>
      <c r="WA1040" s="34"/>
      <c r="WB1040" s="34"/>
    </row>
    <row r="1105" spans="1:600" x14ac:dyDescent="0.35">
      <c r="A1105" s="34"/>
      <c r="B1105" s="34"/>
      <c r="C1105" s="34"/>
      <c r="D1105" s="34"/>
      <c r="E1105" s="34"/>
      <c r="F1105" s="34"/>
      <c r="G1105" s="34"/>
      <c r="H1105" s="34"/>
      <c r="I1105" s="34"/>
      <c r="J1105" s="34"/>
      <c r="K1105" s="34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34"/>
      <c r="DV1105" s="34"/>
      <c r="DW1105" s="34"/>
      <c r="DX1105" s="34"/>
      <c r="DY1105" s="34"/>
      <c r="DZ1105" s="34"/>
      <c r="EA1105" s="34"/>
      <c r="EB1105" s="34"/>
      <c r="EC1105" s="34"/>
      <c r="ED1105" s="34"/>
      <c r="EE1105" s="34"/>
      <c r="EF1105" s="34"/>
      <c r="EG1105" s="34"/>
      <c r="EH1105" s="34"/>
      <c r="EI1105" s="34"/>
      <c r="EJ1105" s="34"/>
      <c r="EK1105" s="34"/>
      <c r="EL1105" s="34"/>
      <c r="EM1105" s="34"/>
      <c r="EN1105" s="34"/>
      <c r="EO1105" s="34"/>
      <c r="EP1105" s="34"/>
      <c r="EQ1105" s="34"/>
      <c r="ER1105" s="34"/>
      <c r="ES1105" s="34"/>
      <c r="ET1105" s="34"/>
      <c r="EU1105" s="34"/>
      <c r="EV1105" s="34"/>
      <c r="EW1105" s="34"/>
      <c r="EX1105" s="34"/>
      <c r="EY1105" s="34"/>
      <c r="EZ1105" s="34"/>
      <c r="FA1105" s="34"/>
      <c r="FB1105" s="34"/>
      <c r="FC1105" s="34"/>
      <c r="FD1105" s="34"/>
      <c r="FE1105" s="34"/>
      <c r="FF1105" s="34"/>
      <c r="FG1105" s="34"/>
      <c r="FH1105" s="34"/>
      <c r="FI1105" s="34"/>
      <c r="FJ1105" s="34"/>
      <c r="FK1105" s="34"/>
      <c r="FL1105" s="34"/>
      <c r="FM1105" s="34"/>
      <c r="FN1105" s="34"/>
      <c r="FO1105" s="34"/>
      <c r="FP1105" s="34"/>
      <c r="FQ1105" s="34"/>
      <c r="FR1105" s="34"/>
      <c r="FS1105" s="34"/>
      <c r="FT1105" s="34"/>
      <c r="FU1105" s="34"/>
      <c r="FV1105" s="34"/>
      <c r="FW1105" s="34"/>
      <c r="FX1105" s="34"/>
      <c r="FY1105" s="34"/>
      <c r="FZ1105" s="34"/>
      <c r="GA1105" s="34"/>
      <c r="GB1105" s="34"/>
      <c r="GC1105" s="34"/>
      <c r="GD1105" s="34"/>
      <c r="GE1105" s="34"/>
      <c r="GF1105" s="34"/>
      <c r="GG1105" s="34"/>
      <c r="GH1105" s="34"/>
      <c r="GI1105" s="34"/>
      <c r="GJ1105" s="34"/>
      <c r="GK1105" s="34"/>
      <c r="GL1105" s="34"/>
      <c r="GM1105" s="34"/>
      <c r="GN1105" s="34"/>
      <c r="GO1105" s="34"/>
      <c r="GP1105" s="34"/>
      <c r="GQ1105" s="34"/>
      <c r="GR1105" s="34"/>
      <c r="GS1105" s="34"/>
      <c r="GT1105" s="34"/>
      <c r="GU1105" s="34"/>
      <c r="GV1105" s="34"/>
      <c r="GW1105" s="34"/>
      <c r="GX1105" s="34"/>
      <c r="GY1105" s="34"/>
      <c r="GZ1105" s="34"/>
      <c r="HA1105" s="34"/>
      <c r="HB1105" s="34"/>
      <c r="HC1105" s="34"/>
      <c r="HD1105" s="34"/>
      <c r="HE1105" s="34"/>
      <c r="HF1105" s="34"/>
      <c r="HG1105" s="34"/>
      <c r="HH1105" s="34"/>
      <c r="HI1105" s="34"/>
      <c r="HJ1105" s="34"/>
      <c r="HK1105" s="34"/>
      <c r="HL1105" s="34"/>
      <c r="HM1105" s="34"/>
      <c r="HN1105" s="34"/>
      <c r="HO1105" s="34"/>
      <c r="HP1105" s="34"/>
      <c r="HQ1105" s="34"/>
      <c r="HR1105" s="34"/>
      <c r="HS1105" s="34"/>
      <c r="HT1105" s="34"/>
      <c r="HU1105" s="34"/>
      <c r="HV1105" s="34"/>
      <c r="HW1105" s="34"/>
      <c r="HX1105" s="34"/>
      <c r="HY1105" s="34"/>
      <c r="HZ1105" s="34"/>
      <c r="IA1105" s="34"/>
      <c r="IB1105" s="34"/>
      <c r="IC1105" s="34"/>
      <c r="ID1105" s="34"/>
      <c r="IE1105" s="34"/>
      <c r="IF1105" s="34"/>
      <c r="IG1105" s="34"/>
      <c r="IH1105" s="34"/>
      <c r="II1105" s="34"/>
      <c r="IJ1105" s="34"/>
      <c r="IK1105" s="34"/>
      <c r="IL1105" s="34"/>
      <c r="IM1105" s="34"/>
      <c r="IN1105" s="34"/>
      <c r="IO1105" s="34"/>
      <c r="IP1105" s="34"/>
      <c r="IQ1105" s="34"/>
      <c r="IR1105" s="34"/>
      <c r="IS1105" s="34"/>
      <c r="IT1105" s="34"/>
      <c r="IU1105" s="34"/>
      <c r="IV1105" s="34"/>
      <c r="IW1105" s="34"/>
      <c r="IX1105" s="34"/>
      <c r="IY1105" s="34"/>
      <c r="IZ1105" s="34"/>
      <c r="JA1105" s="34"/>
      <c r="JB1105" s="34"/>
      <c r="JC1105" s="34"/>
      <c r="JD1105" s="34"/>
      <c r="JE1105" s="34"/>
      <c r="JF1105" s="34"/>
      <c r="JG1105" s="34"/>
      <c r="JH1105" s="34"/>
      <c r="JI1105" s="34"/>
      <c r="JJ1105" s="34"/>
      <c r="JK1105" s="34"/>
      <c r="JL1105" s="34"/>
      <c r="JM1105" s="34"/>
      <c r="JN1105" s="34"/>
      <c r="JO1105" s="34"/>
      <c r="JP1105" s="34"/>
      <c r="JQ1105" s="34"/>
      <c r="JR1105" s="34"/>
      <c r="JS1105" s="34"/>
      <c r="JT1105" s="34"/>
      <c r="JU1105" s="34"/>
      <c r="JV1105" s="34"/>
      <c r="JW1105" s="34"/>
      <c r="JX1105" s="34"/>
      <c r="JY1105" s="34"/>
      <c r="JZ1105" s="34"/>
      <c r="KA1105" s="34"/>
      <c r="KB1105" s="34"/>
      <c r="KC1105" s="34"/>
      <c r="KD1105" s="34"/>
      <c r="KE1105" s="34"/>
      <c r="KF1105" s="34"/>
      <c r="KG1105" s="34"/>
      <c r="KH1105" s="34"/>
      <c r="KI1105" s="34"/>
      <c r="KJ1105" s="34"/>
      <c r="KK1105" s="34"/>
      <c r="KL1105" s="34"/>
      <c r="KM1105" s="34"/>
      <c r="KN1105" s="34"/>
      <c r="KO1105" s="34"/>
      <c r="KP1105" s="34"/>
      <c r="KQ1105" s="34"/>
      <c r="KR1105" s="34"/>
      <c r="KS1105" s="34"/>
      <c r="KT1105" s="34"/>
      <c r="KU1105" s="34"/>
      <c r="KV1105" s="34"/>
      <c r="KW1105" s="34"/>
      <c r="KX1105" s="34"/>
      <c r="KY1105" s="34"/>
      <c r="KZ1105" s="34"/>
      <c r="LA1105" s="34"/>
      <c r="LB1105" s="34"/>
      <c r="LC1105" s="34"/>
      <c r="LD1105" s="34"/>
      <c r="LE1105" s="34"/>
      <c r="LF1105" s="34"/>
      <c r="LG1105" s="34"/>
      <c r="LH1105" s="34"/>
      <c r="LI1105" s="34"/>
      <c r="LJ1105" s="34"/>
      <c r="LK1105" s="34"/>
      <c r="LL1105" s="34"/>
      <c r="LM1105" s="34"/>
      <c r="LN1105" s="34"/>
      <c r="LO1105" s="34"/>
      <c r="LP1105" s="34"/>
      <c r="LQ1105" s="34"/>
      <c r="LR1105" s="34"/>
      <c r="LS1105" s="34"/>
      <c r="LT1105" s="34"/>
      <c r="LU1105" s="34"/>
      <c r="LV1105" s="34"/>
      <c r="LW1105" s="34"/>
      <c r="LX1105" s="34"/>
      <c r="LY1105" s="34"/>
      <c r="LZ1105" s="34"/>
      <c r="MA1105" s="34"/>
      <c r="MB1105" s="34"/>
      <c r="MC1105" s="34"/>
      <c r="MD1105" s="34"/>
      <c r="ME1105" s="34"/>
      <c r="MF1105" s="34"/>
      <c r="MG1105" s="34"/>
      <c r="MH1105" s="34"/>
      <c r="MI1105" s="34"/>
      <c r="MJ1105" s="34"/>
      <c r="MK1105" s="34"/>
      <c r="ML1105" s="34"/>
      <c r="MM1105" s="34"/>
      <c r="MN1105" s="34"/>
      <c r="MO1105" s="34"/>
      <c r="MP1105" s="34"/>
      <c r="MQ1105" s="34"/>
      <c r="MR1105" s="34"/>
      <c r="MS1105" s="34"/>
      <c r="MT1105" s="34"/>
      <c r="MU1105" s="34"/>
      <c r="MV1105" s="34"/>
      <c r="MW1105" s="34"/>
      <c r="MX1105" s="34"/>
      <c r="MY1105" s="34"/>
      <c r="MZ1105" s="34"/>
      <c r="NA1105" s="34"/>
      <c r="NB1105" s="34"/>
      <c r="NC1105" s="34"/>
      <c r="ND1105" s="34"/>
      <c r="NE1105" s="34"/>
      <c r="NF1105" s="34"/>
      <c r="NG1105" s="34"/>
      <c r="NH1105" s="34"/>
      <c r="NI1105" s="34"/>
      <c r="NJ1105" s="34"/>
      <c r="NK1105" s="34"/>
      <c r="NL1105" s="34"/>
      <c r="NM1105" s="34"/>
      <c r="NN1105" s="34"/>
      <c r="NO1105" s="34"/>
      <c r="NP1105" s="34"/>
      <c r="NQ1105" s="34"/>
      <c r="NR1105" s="34"/>
      <c r="NS1105" s="34"/>
      <c r="NT1105" s="34"/>
      <c r="NU1105" s="34"/>
      <c r="NV1105" s="34"/>
      <c r="NW1105" s="34"/>
      <c r="NX1105" s="34"/>
      <c r="NY1105" s="34"/>
      <c r="NZ1105" s="34"/>
      <c r="OA1105" s="34"/>
      <c r="OB1105" s="34"/>
      <c r="OC1105" s="34"/>
      <c r="OD1105" s="34"/>
      <c r="OE1105" s="34"/>
      <c r="OF1105" s="34"/>
      <c r="OG1105" s="34"/>
      <c r="OH1105" s="34"/>
      <c r="OI1105" s="34"/>
      <c r="OJ1105" s="34"/>
      <c r="OK1105" s="34"/>
      <c r="OL1105" s="34"/>
      <c r="OM1105" s="34"/>
      <c r="ON1105" s="34"/>
      <c r="OO1105" s="34"/>
      <c r="OP1105" s="34"/>
      <c r="OQ1105" s="34"/>
      <c r="OR1105" s="34"/>
      <c r="OS1105" s="34"/>
      <c r="OT1105" s="34"/>
      <c r="OU1105" s="34"/>
      <c r="OV1105" s="34"/>
      <c r="OW1105" s="34"/>
      <c r="OX1105" s="34"/>
      <c r="OY1105" s="34"/>
      <c r="OZ1105" s="34"/>
      <c r="PA1105" s="34"/>
      <c r="PB1105" s="34"/>
      <c r="PC1105" s="34"/>
      <c r="PD1105" s="34"/>
      <c r="PE1105" s="34"/>
      <c r="PF1105" s="34"/>
      <c r="PG1105" s="34"/>
      <c r="PH1105" s="34"/>
      <c r="PI1105" s="34"/>
      <c r="PJ1105" s="34"/>
      <c r="PK1105" s="34"/>
      <c r="PL1105" s="34"/>
      <c r="PM1105" s="34"/>
      <c r="PN1105" s="34"/>
      <c r="PO1105" s="34"/>
      <c r="PP1105" s="34"/>
      <c r="PQ1105" s="34"/>
      <c r="PR1105" s="34"/>
      <c r="PS1105" s="34"/>
      <c r="PT1105" s="34"/>
      <c r="PU1105" s="34"/>
      <c r="PV1105" s="34"/>
      <c r="PW1105" s="34"/>
      <c r="PX1105" s="34"/>
      <c r="PY1105" s="34"/>
      <c r="PZ1105" s="34"/>
      <c r="QA1105" s="34"/>
      <c r="QB1105" s="34"/>
      <c r="QC1105" s="34"/>
      <c r="QD1105" s="34"/>
      <c r="QE1105" s="34"/>
      <c r="QF1105" s="34"/>
      <c r="QG1105" s="34"/>
      <c r="QH1105" s="34"/>
      <c r="QI1105" s="34"/>
      <c r="QJ1105" s="34"/>
      <c r="QK1105" s="34"/>
      <c r="QL1105" s="34"/>
      <c r="QM1105" s="34"/>
      <c r="QN1105" s="34"/>
      <c r="QO1105" s="34"/>
      <c r="QP1105" s="34"/>
      <c r="QQ1105" s="34"/>
      <c r="QR1105" s="34"/>
      <c r="QS1105" s="34"/>
      <c r="QT1105" s="34"/>
      <c r="QU1105" s="34"/>
      <c r="QV1105" s="34"/>
      <c r="QW1105" s="34"/>
      <c r="QX1105" s="34"/>
      <c r="QY1105" s="34"/>
      <c r="QZ1105" s="34"/>
      <c r="RA1105" s="34"/>
      <c r="RB1105" s="34"/>
      <c r="RC1105" s="34"/>
      <c r="RD1105" s="34"/>
      <c r="RE1105" s="34"/>
      <c r="RF1105" s="34"/>
      <c r="RG1105" s="34"/>
      <c r="RH1105" s="34"/>
      <c r="RI1105" s="34"/>
      <c r="RJ1105" s="34"/>
      <c r="RK1105" s="34"/>
      <c r="RL1105" s="34"/>
      <c r="RM1105" s="34"/>
      <c r="RN1105" s="34"/>
      <c r="RO1105" s="34"/>
      <c r="RP1105" s="34"/>
      <c r="RQ1105" s="34"/>
      <c r="RR1105" s="34"/>
      <c r="RS1105" s="34"/>
      <c r="RT1105" s="34"/>
      <c r="RU1105" s="34"/>
      <c r="RV1105" s="34"/>
      <c r="RW1105" s="34"/>
      <c r="RX1105" s="34"/>
      <c r="RY1105" s="34"/>
      <c r="RZ1105" s="34"/>
      <c r="SA1105" s="34"/>
      <c r="SB1105" s="34"/>
      <c r="SC1105" s="34"/>
      <c r="SD1105" s="34"/>
      <c r="SE1105" s="34"/>
      <c r="SF1105" s="34"/>
      <c r="SG1105" s="34"/>
      <c r="SH1105" s="34"/>
      <c r="SI1105" s="34"/>
      <c r="SJ1105" s="34"/>
      <c r="SK1105" s="34"/>
      <c r="SL1105" s="34"/>
      <c r="SM1105" s="34"/>
      <c r="SN1105" s="34"/>
      <c r="SO1105" s="34"/>
      <c r="SP1105" s="34"/>
      <c r="SQ1105" s="34"/>
      <c r="SR1105" s="34"/>
      <c r="SS1105" s="34"/>
      <c r="ST1105" s="34"/>
      <c r="SU1105" s="34"/>
      <c r="SV1105" s="34"/>
      <c r="SW1105" s="34"/>
      <c r="SX1105" s="34"/>
      <c r="SY1105" s="34"/>
      <c r="SZ1105" s="34"/>
      <c r="TA1105" s="34"/>
      <c r="TB1105" s="34"/>
      <c r="TC1105" s="34"/>
      <c r="TD1105" s="34"/>
      <c r="TE1105" s="34"/>
      <c r="TF1105" s="34"/>
      <c r="TG1105" s="34"/>
      <c r="TH1105" s="34"/>
      <c r="TI1105" s="34"/>
      <c r="TJ1105" s="34"/>
      <c r="TK1105" s="34"/>
      <c r="TL1105" s="34"/>
      <c r="TM1105" s="34"/>
      <c r="TN1105" s="34"/>
      <c r="TO1105" s="34"/>
      <c r="TP1105" s="34"/>
      <c r="TQ1105" s="34"/>
      <c r="TR1105" s="34"/>
      <c r="TS1105" s="34"/>
      <c r="TT1105" s="34"/>
      <c r="TU1105" s="34"/>
      <c r="TV1105" s="34"/>
      <c r="TW1105" s="34"/>
      <c r="TX1105" s="34"/>
      <c r="TY1105" s="34"/>
      <c r="TZ1105" s="34"/>
      <c r="UA1105" s="34"/>
      <c r="UB1105" s="34"/>
      <c r="UC1105" s="34"/>
      <c r="UD1105" s="34"/>
      <c r="UE1105" s="34"/>
      <c r="UF1105" s="34"/>
      <c r="UG1105" s="34"/>
      <c r="UH1105" s="34"/>
      <c r="UI1105" s="34"/>
      <c r="UJ1105" s="34"/>
      <c r="UK1105" s="34"/>
      <c r="UL1105" s="34"/>
      <c r="UM1105" s="34"/>
      <c r="UN1105" s="34"/>
      <c r="UO1105" s="34"/>
      <c r="UP1105" s="34"/>
      <c r="UQ1105" s="34"/>
      <c r="UR1105" s="34"/>
      <c r="US1105" s="34"/>
      <c r="UT1105" s="34"/>
      <c r="UU1105" s="34"/>
      <c r="UV1105" s="34"/>
      <c r="UW1105" s="34"/>
      <c r="UX1105" s="34"/>
      <c r="UY1105" s="34"/>
      <c r="UZ1105" s="34"/>
      <c r="VA1105" s="34"/>
      <c r="VB1105" s="34"/>
      <c r="VC1105" s="34"/>
      <c r="VD1105" s="34"/>
      <c r="VE1105" s="34"/>
      <c r="VF1105" s="34"/>
      <c r="VG1105" s="34"/>
      <c r="VH1105" s="34"/>
      <c r="VI1105" s="34"/>
      <c r="VJ1105" s="34"/>
      <c r="VK1105" s="34"/>
      <c r="VL1105" s="34"/>
      <c r="VM1105" s="34"/>
      <c r="VN1105" s="34"/>
      <c r="VO1105" s="34"/>
      <c r="VP1105" s="34"/>
      <c r="VQ1105" s="34"/>
      <c r="VR1105" s="34"/>
      <c r="VS1105" s="34"/>
      <c r="VT1105" s="34"/>
      <c r="VU1105" s="34"/>
      <c r="VV1105" s="34"/>
      <c r="VW1105" s="34"/>
      <c r="VX1105" s="34"/>
      <c r="VY1105" s="34"/>
      <c r="VZ1105" s="34"/>
      <c r="WA1105" s="34"/>
      <c r="WB1105" s="34"/>
    </row>
    <row r="1170" spans="1:600" x14ac:dyDescent="0.35">
      <c r="A1170" s="34"/>
      <c r="B1170" s="34"/>
      <c r="C1170" s="34"/>
      <c r="D1170" s="34"/>
      <c r="E1170" s="34"/>
      <c r="F1170" s="34"/>
      <c r="G1170" s="34"/>
      <c r="H1170" s="34"/>
      <c r="I1170" s="34"/>
      <c r="J1170" s="34"/>
      <c r="K1170" s="34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34"/>
      <c r="DV1170" s="34"/>
      <c r="DW1170" s="34"/>
      <c r="DX1170" s="34"/>
      <c r="DY1170" s="34"/>
      <c r="DZ1170" s="34"/>
      <c r="EA1170" s="34"/>
      <c r="EB1170" s="34"/>
      <c r="EC1170" s="34"/>
      <c r="ED1170" s="34"/>
      <c r="EE1170" s="34"/>
      <c r="EF1170" s="34"/>
      <c r="EG1170" s="34"/>
      <c r="EH1170" s="34"/>
      <c r="EI1170" s="34"/>
      <c r="EJ1170" s="34"/>
      <c r="EK1170" s="34"/>
      <c r="EL1170" s="34"/>
      <c r="EM1170" s="34"/>
      <c r="EN1170" s="34"/>
      <c r="EO1170" s="34"/>
      <c r="EP1170" s="34"/>
      <c r="EQ1170" s="34"/>
      <c r="ER1170" s="34"/>
      <c r="ES1170" s="34"/>
      <c r="ET1170" s="34"/>
      <c r="EU1170" s="34"/>
      <c r="EV1170" s="34"/>
      <c r="EW1170" s="34"/>
      <c r="EX1170" s="34"/>
      <c r="EY1170" s="34"/>
      <c r="EZ1170" s="34"/>
      <c r="FA1170" s="34"/>
      <c r="FB1170" s="34"/>
      <c r="FC1170" s="34"/>
      <c r="FD1170" s="34"/>
      <c r="FE1170" s="34"/>
      <c r="FF1170" s="34"/>
      <c r="FG1170" s="34"/>
      <c r="FH1170" s="34"/>
      <c r="FI1170" s="34"/>
      <c r="FJ1170" s="34"/>
      <c r="FK1170" s="34"/>
      <c r="FL1170" s="34"/>
      <c r="FM1170" s="34"/>
      <c r="FN1170" s="34"/>
      <c r="FO1170" s="34"/>
      <c r="FP1170" s="34"/>
      <c r="FQ1170" s="34"/>
      <c r="FR1170" s="34"/>
      <c r="FS1170" s="34"/>
      <c r="FT1170" s="34"/>
      <c r="FU1170" s="34"/>
      <c r="FV1170" s="34"/>
      <c r="FW1170" s="34"/>
      <c r="FX1170" s="34"/>
      <c r="FY1170" s="34"/>
      <c r="FZ1170" s="34"/>
      <c r="GA1170" s="34"/>
      <c r="GB1170" s="34"/>
      <c r="GC1170" s="34"/>
      <c r="GD1170" s="34"/>
      <c r="GE1170" s="34"/>
      <c r="GF1170" s="34"/>
      <c r="GG1170" s="34"/>
      <c r="GH1170" s="34"/>
      <c r="GI1170" s="34"/>
      <c r="GJ1170" s="34"/>
      <c r="GK1170" s="34"/>
      <c r="GL1170" s="34"/>
      <c r="GM1170" s="34"/>
      <c r="GN1170" s="34"/>
      <c r="GO1170" s="34"/>
      <c r="GP1170" s="34"/>
      <c r="GQ1170" s="34"/>
      <c r="GR1170" s="34"/>
      <c r="GS1170" s="34"/>
      <c r="GT1170" s="34"/>
      <c r="GU1170" s="34"/>
      <c r="GV1170" s="34"/>
      <c r="GW1170" s="34"/>
      <c r="GX1170" s="34"/>
      <c r="GY1170" s="34"/>
      <c r="GZ1170" s="34"/>
      <c r="HA1170" s="34"/>
      <c r="HB1170" s="34"/>
      <c r="HC1170" s="34"/>
      <c r="HD1170" s="34"/>
      <c r="HE1170" s="34"/>
      <c r="HF1170" s="34"/>
      <c r="HG1170" s="34"/>
      <c r="HH1170" s="34"/>
      <c r="HI1170" s="34"/>
      <c r="HJ1170" s="34"/>
      <c r="HK1170" s="34"/>
      <c r="HL1170" s="34"/>
      <c r="HM1170" s="34"/>
      <c r="HN1170" s="34"/>
      <c r="HO1170" s="34"/>
      <c r="HP1170" s="34"/>
      <c r="HQ1170" s="34"/>
      <c r="HR1170" s="34"/>
      <c r="HS1170" s="34"/>
      <c r="HT1170" s="34"/>
      <c r="HU1170" s="34"/>
      <c r="HV1170" s="34"/>
      <c r="HW1170" s="34"/>
      <c r="HX1170" s="34"/>
      <c r="HY1170" s="34"/>
      <c r="HZ1170" s="34"/>
      <c r="IA1170" s="34"/>
      <c r="IB1170" s="34"/>
      <c r="IC1170" s="34"/>
      <c r="ID1170" s="34"/>
      <c r="IE1170" s="34"/>
      <c r="IF1170" s="34"/>
      <c r="IG1170" s="34"/>
      <c r="IH1170" s="34"/>
      <c r="II1170" s="34"/>
      <c r="IJ1170" s="34"/>
      <c r="IK1170" s="34"/>
      <c r="IL1170" s="34"/>
      <c r="IM1170" s="34"/>
      <c r="IN1170" s="34"/>
      <c r="IO1170" s="34"/>
      <c r="IP1170" s="34"/>
      <c r="IQ1170" s="34"/>
      <c r="IR1170" s="34"/>
      <c r="IS1170" s="34"/>
      <c r="IT1170" s="34"/>
      <c r="IU1170" s="34"/>
      <c r="IV1170" s="34"/>
      <c r="IW1170" s="34"/>
      <c r="IX1170" s="34"/>
      <c r="IY1170" s="34"/>
      <c r="IZ1170" s="34"/>
      <c r="JA1170" s="34"/>
      <c r="JB1170" s="34"/>
      <c r="JC1170" s="34"/>
      <c r="JD1170" s="34"/>
      <c r="JE1170" s="34"/>
      <c r="JF1170" s="34"/>
      <c r="JG1170" s="34"/>
      <c r="JH1170" s="34"/>
      <c r="JI1170" s="34"/>
      <c r="JJ1170" s="34"/>
      <c r="JK1170" s="34"/>
      <c r="JL1170" s="34"/>
      <c r="JM1170" s="34"/>
      <c r="JN1170" s="34"/>
      <c r="JO1170" s="34"/>
      <c r="JP1170" s="34"/>
      <c r="JQ1170" s="34"/>
      <c r="JR1170" s="34"/>
      <c r="JS1170" s="34"/>
      <c r="JT1170" s="34"/>
      <c r="JU1170" s="34"/>
      <c r="JV1170" s="34"/>
      <c r="JW1170" s="34"/>
      <c r="JX1170" s="34"/>
      <c r="JY1170" s="34"/>
      <c r="JZ1170" s="34"/>
      <c r="KA1170" s="34"/>
      <c r="KB1170" s="34"/>
      <c r="KC1170" s="34"/>
      <c r="KD1170" s="34"/>
      <c r="KE1170" s="34"/>
      <c r="KF1170" s="34"/>
      <c r="KG1170" s="34"/>
      <c r="KH1170" s="34"/>
      <c r="KI1170" s="34"/>
      <c r="KJ1170" s="34"/>
      <c r="KK1170" s="34"/>
      <c r="KL1170" s="34"/>
      <c r="KM1170" s="34"/>
      <c r="KN1170" s="34"/>
      <c r="KO1170" s="34"/>
      <c r="KP1170" s="34"/>
      <c r="KQ1170" s="34"/>
      <c r="KR1170" s="34"/>
      <c r="KS1170" s="34"/>
      <c r="KT1170" s="34"/>
      <c r="KU1170" s="34"/>
      <c r="KV1170" s="34"/>
      <c r="KW1170" s="34"/>
      <c r="KX1170" s="34"/>
      <c r="KY1170" s="34"/>
      <c r="KZ1170" s="34"/>
      <c r="LA1170" s="34"/>
      <c r="LB1170" s="34"/>
      <c r="LC1170" s="34"/>
      <c r="LD1170" s="34"/>
      <c r="LE1170" s="34"/>
      <c r="LF1170" s="34"/>
      <c r="LG1170" s="34"/>
      <c r="LH1170" s="34"/>
      <c r="LI1170" s="34"/>
      <c r="LJ1170" s="34"/>
      <c r="LK1170" s="34"/>
      <c r="LL1170" s="34"/>
      <c r="LM1170" s="34"/>
      <c r="LN1170" s="34"/>
      <c r="LO1170" s="34"/>
      <c r="LP1170" s="34"/>
      <c r="LQ1170" s="34"/>
      <c r="LR1170" s="34"/>
      <c r="LS1170" s="34"/>
      <c r="LT1170" s="34"/>
      <c r="LU1170" s="34"/>
      <c r="LV1170" s="34"/>
      <c r="LW1170" s="34"/>
      <c r="LX1170" s="34"/>
      <c r="LY1170" s="34"/>
      <c r="LZ1170" s="34"/>
      <c r="MA1170" s="34"/>
      <c r="MB1170" s="34"/>
      <c r="MC1170" s="34"/>
      <c r="MD1170" s="34"/>
      <c r="ME1170" s="34"/>
      <c r="MF1170" s="34"/>
      <c r="MG1170" s="34"/>
      <c r="MH1170" s="34"/>
      <c r="MI1170" s="34"/>
      <c r="MJ1170" s="34"/>
      <c r="MK1170" s="34"/>
      <c r="ML1170" s="34"/>
      <c r="MM1170" s="34"/>
      <c r="MN1170" s="34"/>
      <c r="MO1170" s="34"/>
      <c r="MP1170" s="34"/>
      <c r="MQ1170" s="34"/>
      <c r="MR1170" s="34"/>
      <c r="MS1170" s="34"/>
      <c r="MT1170" s="34"/>
      <c r="MU1170" s="34"/>
      <c r="MV1170" s="34"/>
      <c r="MW1170" s="34"/>
      <c r="MX1170" s="34"/>
      <c r="MY1170" s="34"/>
      <c r="MZ1170" s="34"/>
      <c r="NA1170" s="34"/>
      <c r="NB1170" s="34"/>
      <c r="NC1170" s="34"/>
      <c r="ND1170" s="34"/>
      <c r="NE1170" s="34"/>
      <c r="NF1170" s="34"/>
      <c r="NG1170" s="34"/>
      <c r="NH1170" s="34"/>
      <c r="NI1170" s="34"/>
      <c r="NJ1170" s="34"/>
      <c r="NK1170" s="34"/>
      <c r="NL1170" s="34"/>
      <c r="NM1170" s="34"/>
      <c r="NN1170" s="34"/>
      <c r="NO1170" s="34"/>
      <c r="NP1170" s="34"/>
      <c r="NQ1170" s="34"/>
      <c r="NR1170" s="34"/>
      <c r="NS1170" s="34"/>
      <c r="NT1170" s="34"/>
      <c r="NU1170" s="34"/>
      <c r="NV1170" s="34"/>
      <c r="NW1170" s="34"/>
      <c r="NX1170" s="34"/>
      <c r="NY1170" s="34"/>
      <c r="NZ1170" s="34"/>
      <c r="OA1170" s="34"/>
      <c r="OB1170" s="34"/>
      <c r="OC1170" s="34"/>
      <c r="OD1170" s="34"/>
      <c r="OE1170" s="34"/>
      <c r="OF1170" s="34"/>
      <c r="OG1170" s="34"/>
      <c r="OH1170" s="34"/>
      <c r="OI1170" s="34"/>
      <c r="OJ1170" s="34"/>
      <c r="OK1170" s="34"/>
      <c r="OL1170" s="34"/>
      <c r="OM1170" s="34"/>
      <c r="ON1170" s="34"/>
      <c r="OO1170" s="34"/>
      <c r="OP1170" s="34"/>
      <c r="OQ1170" s="34"/>
      <c r="OR1170" s="34"/>
      <c r="OS1170" s="34"/>
      <c r="OT1170" s="34"/>
      <c r="OU1170" s="34"/>
      <c r="OV1170" s="34"/>
      <c r="OW1170" s="34"/>
      <c r="OX1170" s="34"/>
      <c r="OY1170" s="34"/>
      <c r="OZ1170" s="34"/>
      <c r="PA1170" s="34"/>
      <c r="PB1170" s="34"/>
      <c r="PC1170" s="34"/>
      <c r="PD1170" s="34"/>
      <c r="PE1170" s="34"/>
      <c r="PF1170" s="34"/>
      <c r="PG1170" s="34"/>
      <c r="PH1170" s="34"/>
      <c r="PI1170" s="34"/>
      <c r="PJ1170" s="34"/>
      <c r="PK1170" s="34"/>
      <c r="PL1170" s="34"/>
      <c r="PM1170" s="34"/>
      <c r="PN1170" s="34"/>
      <c r="PO1170" s="34"/>
      <c r="PP1170" s="34"/>
      <c r="PQ1170" s="34"/>
      <c r="PR1170" s="34"/>
      <c r="PS1170" s="34"/>
      <c r="PT1170" s="34"/>
      <c r="PU1170" s="34"/>
      <c r="PV1170" s="34"/>
      <c r="PW1170" s="34"/>
      <c r="PX1170" s="34"/>
      <c r="PY1170" s="34"/>
      <c r="PZ1170" s="34"/>
      <c r="QA1170" s="34"/>
      <c r="QB1170" s="34"/>
      <c r="QC1170" s="34"/>
      <c r="QD1170" s="34"/>
      <c r="QE1170" s="34"/>
      <c r="QF1170" s="34"/>
      <c r="QG1170" s="34"/>
      <c r="QH1170" s="34"/>
      <c r="QI1170" s="34"/>
      <c r="QJ1170" s="34"/>
      <c r="QK1170" s="34"/>
      <c r="QL1170" s="34"/>
      <c r="QM1170" s="34"/>
      <c r="QN1170" s="34"/>
      <c r="QO1170" s="34"/>
      <c r="QP1170" s="34"/>
      <c r="QQ1170" s="34"/>
      <c r="QR1170" s="34"/>
      <c r="QS1170" s="34"/>
      <c r="QT1170" s="34"/>
      <c r="QU1170" s="34"/>
      <c r="QV1170" s="34"/>
      <c r="QW1170" s="34"/>
      <c r="QX1170" s="34"/>
      <c r="QY1170" s="34"/>
      <c r="QZ1170" s="34"/>
      <c r="RA1170" s="34"/>
      <c r="RB1170" s="34"/>
      <c r="RC1170" s="34"/>
      <c r="RD1170" s="34"/>
      <c r="RE1170" s="34"/>
      <c r="RF1170" s="34"/>
      <c r="RG1170" s="34"/>
      <c r="RH1170" s="34"/>
      <c r="RI1170" s="34"/>
      <c r="RJ1170" s="34"/>
      <c r="RK1170" s="34"/>
      <c r="RL1170" s="34"/>
      <c r="RM1170" s="34"/>
      <c r="RN1170" s="34"/>
      <c r="RO1170" s="34"/>
      <c r="RP1170" s="34"/>
      <c r="RQ1170" s="34"/>
      <c r="RR1170" s="34"/>
      <c r="RS1170" s="34"/>
      <c r="RT1170" s="34"/>
      <c r="RU1170" s="34"/>
      <c r="RV1170" s="34"/>
      <c r="RW1170" s="34"/>
      <c r="RX1170" s="34"/>
      <c r="RY1170" s="34"/>
      <c r="RZ1170" s="34"/>
      <c r="SA1170" s="34"/>
      <c r="SB1170" s="34"/>
      <c r="SC1170" s="34"/>
      <c r="SD1170" s="34"/>
      <c r="SE1170" s="34"/>
      <c r="SF1170" s="34"/>
      <c r="SG1170" s="34"/>
      <c r="SH1170" s="34"/>
      <c r="SI1170" s="34"/>
      <c r="SJ1170" s="34"/>
      <c r="SK1170" s="34"/>
      <c r="SL1170" s="34"/>
      <c r="SM1170" s="34"/>
      <c r="SN1170" s="34"/>
      <c r="SO1170" s="34"/>
      <c r="SP1170" s="34"/>
      <c r="SQ1170" s="34"/>
      <c r="SR1170" s="34"/>
      <c r="SS1170" s="34"/>
      <c r="ST1170" s="34"/>
      <c r="SU1170" s="34"/>
      <c r="SV1170" s="34"/>
      <c r="SW1170" s="34"/>
      <c r="SX1170" s="34"/>
      <c r="SY1170" s="34"/>
      <c r="SZ1170" s="34"/>
      <c r="TA1170" s="34"/>
      <c r="TB1170" s="34"/>
      <c r="TC1170" s="34"/>
      <c r="TD1170" s="34"/>
      <c r="TE1170" s="34"/>
      <c r="TF1170" s="34"/>
      <c r="TG1170" s="34"/>
      <c r="TH1170" s="34"/>
      <c r="TI1170" s="34"/>
      <c r="TJ1170" s="34"/>
      <c r="TK1170" s="34"/>
      <c r="TL1170" s="34"/>
      <c r="TM1170" s="34"/>
      <c r="TN1170" s="34"/>
      <c r="TO1170" s="34"/>
      <c r="TP1170" s="34"/>
      <c r="TQ1170" s="34"/>
      <c r="TR1170" s="34"/>
      <c r="TS1170" s="34"/>
      <c r="TT1170" s="34"/>
      <c r="TU1170" s="34"/>
      <c r="TV1170" s="34"/>
      <c r="TW1170" s="34"/>
      <c r="TX1170" s="34"/>
      <c r="TY1170" s="34"/>
      <c r="TZ1170" s="34"/>
      <c r="UA1170" s="34"/>
      <c r="UB1170" s="34"/>
      <c r="UC1170" s="34"/>
      <c r="UD1170" s="34"/>
      <c r="UE1170" s="34"/>
      <c r="UF1170" s="34"/>
      <c r="UG1170" s="34"/>
      <c r="UH1170" s="34"/>
      <c r="UI1170" s="34"/>
      <c r="UJ1170" s="34"/>
      <c r="UK1170" s="34"/>
      <c r="UL1170" s="34"/>
      <c r="UM1170" s="34"/>
      <c r="UN1170" s="34"/>
      <c r="UO1170" s="34"/>
      <c r="UP1170" s="34"/>
      <c r="UQ1170" s="34"/>
      <c r="UR1170" s="34"/>
      <c r="US1170" s="34"/>
      <c r="UT1170" s="34"/>
      <c r="UU1170" s="34"/>
      <c r="UV1170" s="34"/>
      <c r="UW1170" s="34"/>
      <c r="UX1170" s="34"/>
      <c r="UY1170" s="34"/>
      <c r="UZ1170" s="34"/>
      <c r="VA1170" s="34"/>
      <c r="VB1170" s="34"/>
      <c r="VC1170" s="34"/>
      <c r="VD1170" s="34"/>
      <c r="VE1170" s="34"/>
      <c r="VF1170" s="34"/>
      <c r="VG1170" s="34"/>
      <c r="VH1170" s="34"/>
      <c r="VI1170" s="34"/>
      <c r="VJ1170" s="34"/>
      <c r="VK1170" s="34"/>
      <c r="VL1170" s="34"/>
      <c r="VM1170" s="34"/>
      <c r="VN1170" s="34"/>
      <c r="VO1170" s="34"/>
      <c r="VP1170" s="34"/>
      <c r="VQ1170" s="34"/>
      <c r="VR1170" s="34"/>
      <c r="VS1170" s="34"/>
      <c r="VT1170" s="34"/>
      <c r="VU1170" s="34"/>
      <c r="VV1170" s="34"/>
      <c r="VW1170" s="34"/>
      <c r="VX1170" s="34"/>
      <c r="VY1170" s="34"/>
      <c r="VZ1170" s="34"/>
      <c r="WA1170" s="34"/>
      <c r="WB1170" s="34"/>
    </row>
    <row r="1235" spans="1:600" x14ac:dyDescent="0.35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34"/>
      <c r="DV1235" s="34"/>
      <c r="DW1235" s="34"/>
      <c r="DX1235" s="34"/>
      <c r="DY1235" s="34"/>
      <c r="DZ1235" s="34"/>
      <c r="EA1235" s="34"/>
      <c r="EB1235" s="34"/>
      <c r="EC1235" s="34"/>
      <c r="ED1235" s="34"/>
      <c r="EE1235" s="34"/>
      <c r="EF1235" s="34"/>
      <c r="EG1235" s="34"/>
      <c r="EH1235" s="34"/>
      <c r="EI1235" s="34"/>
      <c r="EJ1235" s="34"/>
      <c r="EK1235" s="34"/>
      <c r="EL1235" s="34"/>
      <c r="EM1235" s="34"/>
      <c r="EN1235" s="34"/>
      <c r="EO1235" s="34"/>
      <c r="EP1235" s="34"/>
      <c r="EQ1235" s="34"/>
      <c r="ER1235" s="34"/>
      <c r="ES1235" s="34"/>
      <c r="ET1235" s="34"/>
      <c r="EU1235" s="34"/>
      <c r="EV1235" s="34"/>
      <c r="EW1235" s="34"/>
      <c r="EX1235" s="34"/>
      <c r="EY1235" s="34"/>
      <c r="EZ1235" s="34"/>
      <c r="FA1235" s="34"/>
      <c r="FB1235" s="34"/>
      <c r="FC1235" s="34"/>
      <c r="FD1235" s="34"/>
      <c r="FE1235" s="34"/>
      <c r="FF1235" s="34"/>
      <c r="FG1235" s="34"/>
      <c r="FH1235" s="34"/>
      <c r="FI1235" s="34"/>
      <c r="FJ1235" s="34"/>
      <c r="FK1235" s="34"/>
      <c r="FL1235" s="34"/>
      <c r="FM1235" s="34"/>
      <c r="FN1235" s="34"/>
      <c r="FO1235" s="34"/>
      <c r="FP1235" s="34"/>
      <c r="FQ1235" s="34"/>
      <c r="FR1235" s="34"/>
      <c r="FS1235" s="34"/>
      <c r="FT1235" s="34"/>
      <c r="FU1235" s="34"/>
      <c r="FV1235" s="34"/>
      <c r="FW1235" s="34"/>
      <c r="FX1235" s="34"/>
      <c r="FY1235" s="34"/>
      <c r="FZ1235" s="34"/>
      <c r="GA1235" s="34"/>
      <c r="GB1235" s="34"/>
      <c r="GC1235" s="34"/>
      <c r="GD1235" s="34"/>
      <c r="GE1235" s="34"/>
      <c r="GF1235" s="34"/>
      <c r="GG1235" s="34"/>
      <c r="GH1235" s="34"/>
      <c r="GI1235" s="34"/>
      <c r="GJ1235" s="34"/>
      <c r="GK1235" s="34"/>
      <c r="GL1235" s="34"/>
      <c r="GM1235" s="34"/>
      <c r="GN1235" s="34"/>
      <c r="GO1235" s="34"/>
      <c r="GP1235" s="34"/>
      <c r="GQ1235" s="34"/>
      <c r="GR1235" s="34"/>
      <c r="GS1235" s="34"/>
      <c r="GT1235" s="34"/>
      <c r="GU1235" s="34"/>
      <c r="GV1235" s="34"/>
      <c r="GW1235" s="34"/>
      <c r="GX1235" s="34"/>
      <c r="GY1235" s="34"/>
      <c r="GZ1235" s="34"/>
      <c r="HA1235" s="34"/>
      <c r="HB1235" s="34"/>
      <c r="HC1235" s="34"/>
      <c r="HD1235" s="34"/>
      <c r="HE1235" s="34"/>
      <c r="HF1235" s="34"/>
      <c r="HG1235" s="34"/>
      <c r="HH1235" s="34"/>
      <c r="HI1235" s="34"/>
      <c r="HJ1235" s="34"/>
      <c r="HK1235" s="34"/>
      <c r="HL1235" s="34"/>
      <c r="HM1235" s="34"/>
      <c r="HN1235" s="34"/>
      <c r="HO1235" s="34"/>
      <c r="HP1235" s="34"/>
      <c r="HQ1235" s="34"/>
      <c r="HR1235" s="34"/>
      <c r="HS1235" s="34"/>
      <c r="HT1235" s="34"/>
      <c r="HU1235" s="34"/>
      <c r="HV1235" s="34"/>
      <c r="HW1235" s="34"/>
      <c r="HX1235" s="34"/>
      <c r="HY1235" s="34"/>
      <c r="HZ1235" s="34"/>
      <c r="IA1235" s="34"/>
      <c r="IB1235" s="34"/>
      <c r="IC1235" s="34"/>
      <c r="ID1235" s="34"/>
      <c r="IE1235" s="34"/>
      <c r="IF1235" s="34"/>
      <c r="IG1235" s="34"/>
      <c r="IH1235" s="34"/>
      <c r="II1235" s="34"/>
      <c r="IJ1235" s="34"/>
      <c r="IK1235" s="34"/>
      <c r="IL1235" s="34"/>
      <c r="IM1235" s="34"/>
      <c r="IN1235" s="34"/>
      <c r="IO1235" s="34"/>
      <c r="IP1235" s="34"/>
      <c r="IQ1235" s="34"/>
      <c r="IR1235" s="34"/>
      <c r="IS1235" s="34"/>
      <c r="IT1235" s="34"/>
      <c r="IU1235" s="34"/>
      <c r="IV1235" s="34"/>
      <c r="IW1235" s="34"/>
      <c r="IX1235" s="34"/>
      <c r="IY1235" s="34"/>
      <c r="IZ1235" s="34"/>
      <c r="JA1235" s="34"/>
      <c r="JB1235" s="34"/>
      <c r="JC1235" s="34"/>
      <c r="JD1235" s="34"/>
      <c r="JE1235" s="34"/>
      <c r="JF1235" s="34"/>
      <c r="JG1235" s="34"/>
      <c r="JH1235" s="34"/>
      <c r="JI1235" s="34"/>
      <c r="JJ1235" s="34"/>
      <c r="JK1235" s="34"/>
      <c r="JL1235" s="34"/>
      <c r="JM1235" s="34"/>
      <c r="JN1235" s="34"/>
      <c r="JO1235" s="34"/>
      <c r="JP1235" s="34"/>
      <c r="JQ1235" s="34"/>
      <c r="JR1235" s="34"/>
      <c r="JS1235" s="34"/>
      <c r="JT1235" s="34"/>
      <c r="JU1235" s="34"/>
      <c r="JV1235" s="34"/>
      <c r="JW1235" s="34"/>
      <c r="JX1235" s="34"/>
      <c r="JY1235" s="34"/>
      <c r="JZ1235" s="34"/>
      <c r="KA1235" s="34"/>
      <c r="KB1235" s="34"/>
      <c r="KC1235" s="34"/>
      <c r="KD1235" s="34"/>
      <c r="KE1235" s="34"/>
      <c r="KF1235" s="34"/>
      <c r="KG1235" s="34"/>
      <c r="KH1235" s="34"/>
      <c r="KI1235" s="34"/>
      <c r="KJ1235" s="34"/>
      <c r="KK1235" s="34"/>
      <c r="KL1235" s="34"/>
      <c r="KM1235" s="34"/>
      <c r="KN1235" s="34"/>
      <c r="KO1235" s="34"/>
      <c r="KP1235" s="34"/>
      <c r="KQ1235" s="34"/>
      <c r="KR1235" s="34"/>
      <c r="KS1235" s="34"/>
      <c r="KT1235" s="34"/>
      <c r="KU1235" s="34"/>
      <c r="KV1235" s="34"/>
      <c r="KW1235" s="34"/>
      <c r="KX1235" s="34"/>
      <c r="KY1235" s="34"/>
      <c r="KZ1235" s="34"/>
      <c r="LA1235" s="34"/>
      <c r="LB1235" s="34"/>
      <c r="LC1235" s="34"/>
      <c r="LD1235" s="34"/>
      <c r="LE1235" s="34"/>
      <c r="LF1235" s="34"/>
      <c r="LG1235" s="34"/>
      <c r="LH1235" s="34"/>
      <c r="LI1235" s="34"/>
      <c r="LJ1235" s="34"/>
      <c r="LK1235" s="34"/>
      <c r="LL1235" s="34"/>
      <c r="LM1235" s="34"/>
      <c r="LN1235" s="34"/>
      <c r="LO1235" s="34"/>
      <c r="LP1235" s="34"/>
      <c r="LQ1235" s="34"/>
      <c r="LR1235" s="34"/>
      <c r="LS1235" s="34"/>
      <c r="LT1235" s="34"/>
      <c r="LU1235" s="34"/>
      <c r="LV1235" s="34"/>
      <c r="LW1235" s="34"/>
      <c r="LX1235" s="34"/>
      <c r="LY1235" s="34"/>
      <c r="LZ1235" s="34"/>
      <c r="MA1235" s="34"/>
      <c r="MB1235" s="34"/>
      <c r="MC1235" s="34"/>
      <c r="MD1235" s="34"/>
      <c r="ME1235" s="34"/>
      <c r="MF1235" s="34"/>
      <c r="MG1235" s="34"/>
      <c r="MH1235" s="34"/>
      <c r="MI1235" s="34"/>
      <c r="MJ1235" s="34"/>
      <c r="MK1235" s="34"/>
      <c r="ML1235" s="34"/>
      <c r="MM1235" s="34"/>
      <c r="MN1235" s="34"/>
      <c r="MO1235" s="34"/>
      <c r="MP1235" s="34"/>
      <c r="MQ1235" s="34"/>
      <c r="MR1235" s="34"/>
      <c r="MS1235" s="34"/>
      <c r="MT1235" s="34"/>
      <c r="MU1235" s="34"/>
      <c r="MV1235" s="34"/>
      <c r="MW1235" s="34"/>
      <c r="MX1235" s="34"/>
      <c r="MY1235" s="34"/>
      <c r="MZ1235" s="34"/>
      <c r="NA1235" s="34"/>
      <c r="NB1235" s="34"/>
      <c r="NC1235" s="34"/>
      <c r="ND1235" s="34"/>
      <c r="NE1235" s="34"/>
      <c r="NF1235" s="34"/>
      <c r="NG1235" s="34"/>
      <c r="NH1235" s="34"/>
      <c r="NI1235" s="34"/>
      <c r="NJ1235" s="34"/>
      <c r="NK1235" s="34"/>
      <c r="NL1235" s="34"/>
      <c r="NM1235" s="34"/>
      <c r="NN1235" s="34"/>
      <c r="NO1235" s="34"/>
      <c r="NP1235" s="34"/>
      <c r="NQ1235" s="34"/>
      <c r="NR1235" s="34"/>
      <c r="NS1235" s="34"/>
      <c r="NT1235" s="34"/>
      <c r="NU1235" s="34"/>
      <c r="NV1235" s="34"/>
      <c r="NW1235" s="34"/>
      <c r="NX1235" s="34"/>
      <c r="NY1235" s="34"/>
      <c r="NZ1235" s="34"/>
      <c r="OA1235" s="34"/>
      <c r="OB1235" s="34"/>
      <c r="OC1235" s="34"/>
      <c r="OD1235" s="34"/>
      <c r="OE1235" s="34"/>
      <c r="OF1235" s="34"/>
      <c r="OG1235" s="34"/>
      <c r="OH1235" s="34"/>
      <c r="OI1235" s="34"/>
      <c r="OJ1235" s="34"/>
      <c r="OK1235" s="34"/>
      <c r="OL1235" s="34"/>
      <c r="OM1235" s="34"/>
      <c r="ON1235" s="34"/>
      <c r="OO1235" s="34"/>
      <c r="OP1235" s="34"/>
      <c r="OQ1235" s="34"/>
      <c r="OR1235" s="34"/>
      <c r="OS1235" s="34"/>
      <c r="OT1235" s="34"/>
      <c r="OU1235" s="34"/>
      <c r="OV1235" s="34"/>
      <c r="OW1235" s="34"/>
      <c r="OX1235" s="34"/>
      <c r="OY1235" s="34"/>
      <c r="OZ1235" s="34"/>
      <c r="PA1235" s="34"/>
      <c r="PB1235" s="34"/>
      <c r="PC1235" s="34"/>
      <c r="PD1235" s="34"/>
      <c r="PE1235" s="34"/>
      <c r="PF1235" s="34"/>
      <c r="PG1235" s="34"/>
      <c r="PH1235" s="34"/>
      <c r="PI1235" s="34"/>
      <c r="PJ1235" s="34"/>
      <c r="PK1235" s="34"/>
      <c r="PL1235" s="34"/>
      <c r="PM1235" s="34"/>
      <c r="PN1235" s="34"/>
      <c r="PO1235" s="34"/>
      <c r="PP1235" s="34"/>
      <c r="PQ1235" s="34"/>
      <c r="PR1235" s="34"/>
      <c r="PS1235" s="34"/>
      <c r="PT1235" s="34"/>
      <c r="PU1235" s="34"/>
      <c r="PV1235" s="34"/>
      <c r="PW1235" s="34"/>
      <c r="PX1235" s="34"/>
      <c r="PY1235" s="34"/>
      <c r="PZ1235" s="34"/>
      <c r="QA1235" s="34"/>
      <c r="QB1235" s="34"/>
      <c r="QC1235" s="34"/>
      <c r="QD1235" s="34"/>
      <c r="QE1235" s="34"/>
      <c r="QF1235" s="34"/>
      <c r="QG1235" s="34"/>
      <c r="QH1235" s="34"/>
      <c r="QI1235" s="34"/>
      <c r="QJ1235" s="34"/>
      <c r="QK1235" s="34"/>
      <c r="QL1235" s="34"/>
      <c r="QM1235" s="34"/>
      <c r="QN1235" s="34"/>
      <c r="QO1235" s="34"/>
      <c r="QP1235" s="34"/>
      <c r="QQ1235" s="34"/>
      <c r="QR1235" s="34"/>
      <c r="QS1235" s="34"/>
      <c r="QT1235" s="34"/>
      <c r="QU1235" s="34"/>
      <c r="QV1235" s="34"/>
      <c r="QW1235" s="34"/>
      <c r="QX1235" s="34"/>
      <c r="QY1235" s="34"/>
      <c r="QZ1235" s="34"/>
      <c r="RA1235" s="34"/>
      <c r="RB1235" s="34"/>
      <c r="RC1235" s="34"/>
      <c r="RD1235" s="34"/>
      <c r="RE1235" s="34"/>
      <c r="RF1235" s="34"/>
      <c r="RG1235" s="34"/>
      <c r="RH1235" s="34"/>
      <c r="RI1235" s="34"/>
      <c r="RJ1235" s="34"/>
      <c r="RK1235" s="34"/>
      <c r="RL1235" s="34"/>
      <c r="RM1235" s="34"/>
      <c r="RN1235" s="34"/>
      <c r="RO1235" s="34"/>
      <c r="RP1235" s="34"/>
      <c r="RQ1235" s="34"/>
      <c r="RR1235" s="34"/>
      <c r="RS1235" s="34"/>
      <c r="RT1235" s="34"/>
      <c r="RU1235" s="34"/>
      <c r="RV1235" s="34"/>
      <c r="RW1235" s="34"/>
      <c r="RX1235" s="34"/>
      <c r="RY1235" s="34"/>
      <c r="RZ1235" s="34"/>
      <c r="SA1235" s="34"/>
      <c r="SB1235" s="34"/>
      <c r="SC1235" s="34"/>
      <c r="SD1235" s="34"/>
      <c r="SE1235" s="34"/>
      <c r="SF1235" s="34"/>
      <c r="SG1235" s="34"/>
      <c r="SH1235" s="34"/>
      <c r="SI1235" s="34"/>
      <c r="SJ1235" s="34"/>
      <c r="SK1235" s="34"/>
      <c r="SL1235" s="34"/>
      <c r="SM1235" s="34"/>
      <c r="SN1235" s="34"/>
      <c r="SO1235" s="34"/>
      <c r="SP1235" s="34"/>
      <c r="SQ1235" s="34"/>
      <c r="SR1235" s="34"/>
      <c r="SS1235" s="34"/>
      <c r="ST1235" s="34"/>
      <c r="SU1235" s="34"/>
      <c r="SV1235" s="34"/>
      <c r="SW1235" s="34"/>
      <c r="SX1235" s="34"/>
      <c r="SY1235" s="34"/>
      <c r="SZ1235" s="34"/>
      <c r="TA1235" s="34"/>
      <c r="TB1235" s="34"/>
      <c r="TC1235" s="34"/>
      <c r="TD1235" s="34"/>
      <c r="TE1235" s="34"/>
      <c r="TF1235" s="34"/>
      <c r="TG1235" s="34"/>
      <c r="TH1235" s="34"/>
      <c r="TI1235" s="34"/>
      <c r="TJ1235" s="34"/>
      <c r="TK1235" s="34"/>
      <c r="TL1235" s="34"/>
      <c r="TM1235" s="34"/>
      <c r="TN1235" s="34"/>
      <c r="TO1235" s="34"/>
      <c r="TP1235" s="34"/>
      <c r="TQ1235" s="34"/>
      <c r="TR1235" s="34"/>
      <c r="TS1235" s="34"/>
      <c r="TT1235" s="34"/>
      <c r="TU1235" s="34"/>
      <c r="TV1235" s="34"/>
      <c r="TW1235" s="34"/>
      <c r="TX1235" s="34"/>
      <c r="TY1235" s="34"/>
      <c r="TZ1235" s="34"/>
      <c r="UA1235" s="34"/>
      <c r="UB1235" s="34"/>
      <c r="UC1235" s="34"/>
      <c r="UD1235" s="34"/>
      <c r="UE1235" s="34"/>
      <c r="UF1235" s="34"/>
      <c r="UG1235" s="34"/>
      <c r="UH1235" s="34"/>
      <c r="UI1235" s="34"/>
      <c r="UJ1235" s="34"/>
      <c r="UK1235" s="34"/>
      <c r="UL1235" s="34"/>
      <c r="UM1235" s="34"/>
      <c r="UN1235" s="34"/>
      <c r="UO1235" s="34"/>
      <c r="UP1235" s="34"/>
      <c r="UQ1235" s="34"/>
      <c r="UR1235" s="34"/>
      <c r="US1235" s="34"/>
      <c r="UT1235" s="34"/>
      <c r="UU1235" s="34"/>
      <c r="UV1235" s="34"/>
      <c r="UW1235" s="34"/>
      <c r="UX1235" s="34"/>
      <c r="UY1235" s="34"/>
      <c r="UZ1235" s="34"/>
      <c r="VA1235" s="34"/>
      <c r="VB1235" s="34"/>
      <c r="VC1235" s="34"/>
      <c r="VD1235" s="34"/>
      <c r="VE1235" s="34"/>
      <c r="VF1235" s="34"/>
      <c r="VG1235" s="34"/>
      <c r="VH1235" s="34"/>
      <c r="VI1235" s="34"/>
      <c r="VJ1235" s="34"/>
      <c r="VK1235" s="34"/>
      <c r="VL1235" s="34"/>
      <c r="VM1235" s="34"/>
      <c r="VN1235" s="34"/>
      <c r="VO1235" s="34"/>
      <c r="VP1235" s="34"/>
      <c r="VQ1235" s="34"/>
      <c r="VR1235" s="34"/>
      <c r="VS1235" s="34"/>
      <c r="VT1235" s="34"/>
      <c r="VU1235" s="34"/>
      <c r="VV1235" s="34"/>
      <c r="VW1235" s="34"/>
      <c r="VX1235" s="34"/>
      <c r="VY1235" s="34"/>
      <c r="VZ1235" s="34"/>
      <c r="WA1235" s="34"/>
      <c r="WB1235" s="34"/>
    </row>
    <row r="1300" spans="1:600" x14ac:dyDescent="0.35">
      <c r="A1300" s="34"/>
      <c r="B1300" s="34"/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34"/>
      <c r="DV1300" s="34"/>
      <c r="DW1300" s="34"/>
      <c r="DX1300" s="34"/>
      <c r="DY1300" s="34"/>
      <c r="DZ1300" s="34"/>
      <c r="EA1300" s="34"/>
      <c r="EB1300" s="34"/>
      <c r="EC1300" s="34"/>
      <c r="ED1300" s="34"/>
      <c r="EE1300" s="34"/>
      <c r="EF1300" s="34"/>
      <c r="EG1300" s="34"/>
      <c r="EH1300" s="34"/>
      <c r="EI1300" s="34"/>
      <c r="EJ1300" s="34"/>
      <c r="EK1300" s="34"/>
      <c r="EL1300" s="34"/>
      <c r="EM1300" s="34"/>
      <c r="EN1300" s="34"/>
      <c r="EO1300" s="34"/>
      <c r="EP1300" s="34"/>
      <c r="EQ1300" s="34"/>
      <c r="ER1300" s="34"/>
      <c r="ES1300" s="34"/>
      <c r="ET1300" s="34"/>
      <c r="EU1300" s="34"/>
      <c r="EV1300" s="34"/>
      <c r="EW1300" s="34"/>
      <c r="EX1300" s="34"/>
      <c r="EY1300" s="34"/>
      <c r="EZ1300" s="34"/>
      <c r="FA1300" s="34"/>
      <c r="FB1300" s="34"/>
      <c r="FC1300" s="34"/>
      <c r="FD1300" s="34"/>
      <c r="FE1300" s="34"/>
      <c r="FF1300" s="34"/>
      <c r="FG1300" s="34"/>
      <c r="FH1300" s="34"/>
      <c r="FI1300" s="34"/>
      <c r="FJ1300" s="34"/>
      <c r="FK1300" s="34"/>
      <c r="FL1300" s="34"/>
      <c r="FM1300" s="34"/>
      <c r="FN1300" s="34"/>
      <c r="FO1300" s="34"/>
      <c r="FP1300" s="34"/>
      <c r="FQ1300" s="34"/>
      <c r="FR1300" s="34"/>
      <c r="FS1300" s="34"/>
      <c r="FT1300" s="34"/>
      <c r="FU1300" s="34"/>
      <c r="FV1300" s="34"/>
      <c r="FW1300" s="34"/>
      <c r="FX1300" s="34"/>
      <c r="FY1300" s="34"/>
      <c r="FZ1300" s="34"/>
      <c r="GA1300" s="34"/>
      <c r="GB1300" s="34"/>
      <c r="GC1300" s="34"/>
      <c r="GD1300" s="34"/>
      <c r="GE1300" s="34"/>
      <c r="GF1300" s="34"/>
      <c r="GG1300" s="34"/>
      <c r="GH1300" s="34"/>
      <c r="GI1300" s="34"/>
      <c r="GJ1300" s="34"/>
      <c r="GK1300" s="34"/>
      <c r="GL1300" s="34"/>
      <c r="GM1300" s="34"/>
      <c r="GN1300" s="34"/>
      <c r="GO1300" s="34"/>
      <c r="GP1300" s="34"/>
      <c r="GQ1300" s="34"/>
      <c r="GR1300" s="34"/>
      <c r="GS1300" s="34"/>
      <c r="GT1300" s="34"/>
      <c r="GU1300" s="34"/>
      <c r="GV1300" s="34"/>
      <c r="GW1300" s="34"/>
      <c r="GX1300" s="34"/>
      <c r="GY1300" s="34"/>
      <c r="GZ1300" s="34"/>
      <c r="HA1300" s="34"/>
      <c r="HB1300" s="34"/>
      <c r="HC1300" s="34"/>
      <c r="HD1300" s="34"/>
      <c r="HE1300" s="34"/>
      <c r="HF1300" s="34"/>
      <c r="HG1300" s="34"/>
      <c r="HH1300" s="34"/>
      <c r="HI1300" s="34"/>
      <c r="HJ1300" s="34"/>
      <c r="HK1300" s="34"/>
      <c r="HL1300" s="34"/>
      <c r="HM1300" s="34"/>
      <c r="HN1300" s="34"/>
      <c r="HO1300" s="34"/>
      <c r="HP1300" s="34"/>
      <c r="HQ1300" s="34"/>
      <c r="HR1300" s="34"/>
      <c r="HS1300" s="34"/>
      <c r="HT1300" s="34"/>
      <c r="HU1300" s="34"/>
      <c r="HV1300" s="34"/>
      <c r="HW1300" s="34"/>
      <c r="HX1300" s="34"/>
      <c r="HY1300" s="34"/>
      <c r="HZ1300" s="34"/>
      <c r="IA1300" s="34"/>
      <c r="IB1300" s="34"/>
      <c r="IC1300" s="34"/>
      <c r="ID1300" s="34"/>
      <c r="IE1300" s="34"/>
      <c r="IF1300" s="34"/>
      <c r="IG1300" s="34"/>
      <c r="IH1300" s="34"/>
      <c r="II1300" s="34"/>
      <c r="IJ1300" s="34"/>
      <c r="IK1300" s="34"/>
      <c r="IL1300" s="34"/>
      <c r="IM1300" s="34"/>
      <c r="IN1300" s="34"/>
      <c r="IO1300" s="34"/>
      <c r="IP1300" s="34"/>
      <c r="IQ1300" s="34"/>
      <c r="IR1300" s="34"/>
      <c r="IS1300" s="34"/>
      <c r="IT1300" s="34"/>
      <c r="IU1300" s="34"/>
      <c r="IV1300" s="34"/>
      <c r="IW1300" s="34"/>
      <c r="IX1300" s="34"/>
      <c r="IY1300" s="34"/>
      <c r="IZ1300" s="34"/>
      <c r="JA1300" s="34"/>
      <c r="JB1300" s="34"/>
      <c r="JC1300" s="34"/>
      <c r="JD1300" s="34"/>
      <c r="JE1300" s="34"/>
      <c r="JF1300" s="34"/>
      <c r="JG1300" s="34"/>
      <c r="JH1300" s="34"/>
      <c r="JI1300" s="34"/>
      <c r="JJ1300" s="34"/>
      <c r="JK1300" s="34"/>
      <c r="JL1300" s="34"/>
      <c r="JM1300" s="34"/>
      <c r="JN1300" s="34"/>
      <c r="JO1300" s="34"/>
      <c r="JP1300" s="34"/>
      <c r="JQ1300" s="34"/>
      <c r="JR1300" s="34"/>
      <c r="JS1300" s="34"/>
      <c r="JT1300" s="34"/>
      <c r="JU1300" s="34"/>
      <c r="JV1300" s="34"/>
      <c r="JW1300" s="34"/>
      <c r="JX1300" s="34"/>
      <c r="JY1300" s="34"/>
      <c r="JZ1300" s="34"/>
      <c r="KA1300" s="34"/>
      <c r="KB1300" s="34"/>
      <c r="KC1300" s="34"/>
      <c r="KD1300" s="34"/>
      <c r="KE1300" s="34"/>
      <c r="KF1300" s="34"/>
      <c r="KG1300" s="34"/>
      <c r="KH1300" s="34"/>
      <c r="KI1300" s="34"/>
      <c r="KJ1300" s="34"/>
      <c r="KK1300" s="34"/>
      <c r="KL1300" s="34"/>
      <c r="KM1300" s="34"/>
      <c r="KN1300" s="34"/>
      <c r="KO1300" s="34"/>
      <c r="KP1300" s="34"/>
      <c r="KQ1300" s="34"/>
      <c r="KR1300" s="34"/>
      <c r="KS1300" s="34"/>
      <c r="KT1300" s="34"/>
      <c r="KU1300" s="34"/>
      <c r="KV1300" s="34"/>
      <c r="KW1300" s="34"/>
      <c r="KX1300" s="34"/>
      <c r="KY1300" s="34"/>
      <c r="KZ1300" s="34"/>
      <c r="LA1300" s="34"/>
      <c r="LB1300" s="34"/>
      <c r="LC1300" s="34"/>
      <c r="LD1300" s="34"/>
      <c r="LE1300" s="34"/>
      <c r="LF1300" s="34"/>
      <c r="LG1300" s="34"/>
      <c r="LH1300" s="34"/>
      <c r="LI1300" s="34"/>
      <c r="LJ1300" s="34"/>
      <c r="LK1300" s="34"/>
      <c r="LL1300" s="34"/>
      <c r="LM1300" s="34"/>
      <c r="LN1300" s="34"/>
      <c r="LO1300" s="34"/>
      <c r="LP1300" s="34"/>
      <c r="LQ1300" s="34"/>
      <c r="LR1300" s="34"/>
      <c r="LS1300" s="34"/>
      <c r="LT1300" s="34"/>
      <c r="LU1300" s="34"/>
      <c r="LV1300" s="34"/>
      <c r="LW1300" s="34"/>
      <c r="LX1300" s="34"/>
      <c r="LY1300" s="34"/>
      <c r="LZ1300" s="34"/>
      <c r="MA1300" s="34"/>
      <c r="MB1300" s="34"/>
      <c r="MC1300" s="34"/>
      <c r="MD1300" s="34"/>
      <c r="ME1300" s="34"/>
      <c r="MF1300" s="34"/>
      <c r="MG1300" s="34"/>
      <c r="MH1300" s="34"/>
      <c r="MI1300" s="34"/>
      <c r="MJ1300" s="34"/>
      <c r="MK1300" s="34"/>
      <c r="ML1300" s="34"/>
      <c r="MM1300" s="34"/>
      <c r="MN1300" s="34"/>
      <c r="MO1300" s="34"/>
      <c r="MP1300" s="34"/>
      <c r="MQ1300" s="34"/>
      <c r="MR1300" s="34"/>
      <c r="MS1300" s="34"/>
      <c r="MT1300" s="34"/>
      <c r="MU1300" s="34"/>
      <c r="MV1300" s="34"/>
      <c r="MW1300" s="34"/>
      <c r="MX1300" s="34"/>
      <c r="MY1300" s="34"/>
      <c r="MZ1300" s="34"/>
      <c r="NA1300" s="34"/>
      <c r="NB1300" s="34"/>
      <c r="NC1300" s="34"/>
      <c r="ND1300" s="34"/>
      <c r="NE1300" s="34"/>
      <c r="NF1300" s="34"/>
      <c r="NG1300" s="34"/>
      <c r="NH1300" s="34"/>
      <c r="NI1300" s="34"/>
      <c r="NJ1300" s="34"/>
      <c r="NK1300" s="34"/>
      <c r="NL1300" s="34"/>
      <c r="NM1300" s="34"/>
      <c r="NN1300" s="34"/>
      <c r="NO1300" s="34"/>
      <c r="NP1300" s="34"/>
      <c r="NQ1300" s="34"/>
      <c r="NR1300" s="34"/>
      <c r="NS1300" s="34"/>
      <c r="NT1300" s="34"/>
      <c r="NU1300" s="34"/>
      <c r="NV1300" s="34"/>
      <c r="NW1300" s="34"/>
      <c r="NX1300" s="34"/>
      <c r="NY1300" s="34"/>
      <c r="NZ1300" s="34"/>
      <c r="OA1300" s="34"/>
      <c r="OB1300" s="34"/>
      <c r="OC1300" s="34"/>
      <c r="OD1300" s="34"/>
      <c r="OE1300" s="34"/>
      <c r="OF1300" s="34"/>
      <c r="OG1300" s="34"/>
      <c r="OH1300" s="34"/>
      <c r="OI1300" s="34"/>
      <c r="OJ1300" s="34"/>
      <c r="OK1300" s="34"/>
      <c r="OL1300" s="34"/>
      <c r="OM1300" s="34"/>
      <c r="ON1300" s="34"/>
      <c r="OO1300" s="34"/>
      <c r="OP1300" s="34"/>
      <c r="OQ1300" s="34"/>
      <c r="OR1300" s="34"/>
      <c r="OS1300" s="34"/>
      <c r="OT1300" s="34"/>
      <c r="OU1300" s="34"/>
      <c r="OV1300" s="34"/>
      <c r="OW1300" s="34"/>
      <c r="OX1300" s="34"/>
      <c r="OY1300" s="34"/>
      <c r="OZ1300" s="34"/>
      <c r="PA1300" s="34"/>
      <c r="PB1300" s="34"/>
      <c r="PC1300" s="34"/>
      <c r="PD1300" s="34"/>
      <c r="PE1300" s="34"/>
      <c r="PF1300" s="34"/>
      <c r="PG1300" s="34"/>
      <c r="PH1300" s="34"/>
      <c r="PI1300" s="34"/>
      <c r="PJ1300" s="34"/>
      <c r="PK1300" s="34"/>
      <c r="PL1300" s="34"/>
      <c r="PM1300" s="34"/>
      <c r="PN1300" s="34"/>
      <c r="PO1300" s="34"/>
      <c r="PP1300" s="34"/>
      <c r="PQ1300" s="34"/>
      <c r="PR1300" s="34"/>
      <c r="PS1300" s="34"/>
      <c r="PT1300" s="34"/>
      <c r="PU1300" s="34"/>
      <c r="PV1300" s="34"/>
      <c r="PW1300" s="34"/>
      <c r="PX1300" s="34"/>
      <c r="PY1300" s="34"/>
      <c r="PZ1300" s="34"/>
      <c r="QA1300" s="34"/>
      <c r="QB1300" s="34"/>
      <c r="QC1300" s="34"/>
      <c r="QD1300" s="34"/>
      <c r="QE1300" s="34"/>
      <c r="QF1300" s="34"/>
      <c r="QG1300" s="34"/>
      <c r="QH1300" s="34"/>
      <c r="QI1300" s="34"/>
      <c r="QJ1300" s="34"/>
      <c r="QK1300" s="34"/>
      <c r="QL1300" s="34"/>
      <c r="QM1300" s="34"/>
      <c r="QN1300" s="34"/>
      <c r="QO1300" s="34"/>
      <c r="QP1300" s="34"/>
      <c r="QQ1300" s="34"/>
      <c r="QR1300" s="34"/>
      <c r="QS1300" s="34"/>
      <c r="QT1300" s="34"/>
      <c r="QU1300" s="34"/>
      <c r="QV1300" s="34"/>
      <c r="QW1300" s="34"/>
      <c r="QX1300" s="34"/>
      <c r="QY1300" s="34"/>
      <c r="QZ1300" s="34"/>
      <c r="RA1300" s="34"/>
      <c r="RB1300" s="34"/>
      <c r="RC1300" s="34"/>
      <c r="RD1300" s="34"/>
      <c r="RE1300" s="34"/>
      <c r="RF1300" s="34"/>
      <c r="RG1300" s="34"/>
      <c r="RH1300" s="34"/>
      <c r="RI1300" s="34"/>
      <c r="RJ1300" s="34"/>
      <c r="RK1300" s="34"/>
      <c r="RL1300" s="34"/>
      <c r="RM1300" s="34"/>
      <c r="RN1300" s="34"/>
      <c r="RO1300" s="34"/>
      <c r="RP1300" s="34"/>
      <c r="RQ1300" s="34"/>
      <c r="RR1300" s="34"/>
      <c r="RS1300" s="34"/>
      <c r="RT1300" s="34"/>
      <c r="RU1300" s="34"/>
      <c r="RV1300" s="34"/>
      <c r="RW1300" s="34"/>
      <c r="RX1300" s="34"/>
      <c r="RY1300" s="34"/>
      <c r="RZ1300" s="34"/>
      <c r="SA1300" s="34"/>
      <c r="SB1300" s="34"/>
      <c r="SC1300" s="34"/>
      <c r="SD1300" s="34"/>
      <c r="SE1300" s="34"/>
      <c r="SF1300" s="34"/>
      <c r="SG1300" s="34"/>
      <c r="SH1300" s="34"/>
      <c r="SI1300" s="34"/>
      <c r="SJ1300" s="34"/>
      <c r="SK1300" s="34"/>
      <c r="SL1300" s="34"/>
      <c r="SM1300" s="34"/>
      <c r="SN1300" s="34"/>
      <c r="SO1300" s="34"/>
      <c r="SP1300" s="34"/>
      <c r="SQ1300" s="34"/>
      <c r="SR1300" s="34"/>
      <c r="SS1300" s="34"/>
      <c r="ST1300" s="34"/>
      <c r="SU1300" s="34"/>
      <c r="SV1300" s="34"/>
      <c r="SW1300" s="34"/>
      <c r="SX1300" s="34"/>
      <c r="SY1300" s="34"/>
      <c r="SZ1300" s="34"/>
      <c r="TA1300" s="34"/>
      <c r="TB1300" s="34"/>
      <c r="TC1300" s="34"/>
      <c r="TD1300" s="34"/>
      <c r="TE1300" s="34"/>
      <c r="TF1300" s="34"/>
      <c r="TG1300" s="34"/>
      <c r="TH1300" s="34"/>
      <c r="TI1300" s="34"/>
      <c r="TJ1300" s="34"/>
      <c r="TK1300" s="34"/>
      <c r="TL1300" s="34"/>
      <c r="TM1300" s="34"/>
      <c r="TN1300" s="34"/>
      <c r="TO1300" s="34"/>
      <c r="TP1300" s="34"/>
      <c r="TQ1300" s="34"/>
      <c r="TR1300" s="34"/>
      <c r="TS1300" s="34"/>
      <c r="TT1300" s="34"/>
      <c r="TU1300" s="34"/>
      <c r="TV1300" s="34"/>
      <c r="TW1300" s="34"/>
      <c r="TX1300" s="34"/>
      <c r="TY1300" s="34"/>
      <c r="TZ1300" s="34"/>
      <c r="UA1300" s="34"/>
      <c r="UB1300" s="34"/>
      <c r="UC1300" s="34"/>
      <c r="UD1300" s="34"/>
      <c r="UE1300" s="34"/>
      <c r="UF1300" s="34"/>
      <c r="UG1300" s="34"/>
      <c r="UH1300" s="34"/>
      <c r="UI1300" s="34"/>
      <c r="UJ1300" s="34"/>
      <c r="UK1300" s="34"/>
      <c r="UL1300" s="34"/>
      <c r="UM1300" s="34"/>
      <c r="UN1300" s="34"/>
      <c r="UO1300" s="34"/>
      <c r="UP1300" s="34"/>
      <c r="UQ1300" s="34"/>
      <c r="UR1300" s="34"/>
      <c r="US1300" s="34"/>
      <c r="UT1300" s="34"/>
      <c r="UU1300" s="34"/>
      <c r="UV1300" s="34"/>
      <c r="UW1300" s="34"/>
      <c r="UX1300" s="34"/>
      <c r="UY1300" s="34"/>
      <c r="UZ1300" s="34"/>
      <c r="VA1300" s="34"/>
      <c r="VB1300" s="34"/>
      <c r="VC1300" s="34"/>
      <c r="VD1300" s="34"/>
      <c r="VE1300" s="34"/>
      <c r="VF1300" s="34"/>
      <c r="VG1300" s="34"/>
      <c r="VH1300" s="34"/>
      <c r="VI1300" s="34"/>
      <c r="VJ1300" s="34"/>
      <c r="VK1300" s="34"/>
      <c r="VL1300" s="34"/>
      <c r="VM1300" s="34"/>
      <c r="VN1300" s="34"/>
      <c r="VO1300" s="34"/>
      <c r="VP1300" s="34"/>
      <c r="VQ1300" s="34"/>
      <c r="VR1300" s="34"/>
      <c r="VS1300" s="34"/>
      <c r="VT1300" s="34"/>
      <c r="VU1300" s="34"/>
      <c r="VV1300" s="34"/>
      <c r="VW1300" s="34"/>
      <c r="VX1300" s="34"/>
      <c r="VY1300" s="34"/>
      <c r="VZ1300" s="34"/>
      <c r="WA1300" s="34"/>
      <c r="WB1300" s="34"/>
    </row>
    <row r="1365" spans="1:600" x14ac:dyDescent="0.35">
      <c r="A1365" s="34"/>
      <c r="B1365" s="34"/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34"/>
      <c r="DV1365" s="34"/>
      <c r="DW1365" s="34"/>
      <c r="DX1365" s="34"/>
      <c r="DY1365" s="34"/>
      <c r="DZ1365" s="34"/>
      <c r="EA1365" s="34"/>
      <c r="EB1365" s="34"/>
      <c r="EC1365" s="34"/>
      <c r="ED1365" s="34"/>
      <c r="EE1365" s="34"/>
      <c r="EF1365" s="34"/>
      <c r="EG1365" s="34"/>
      <c r="EH1365" s="34"/>
      <c r="EI1365" s="34"/>
      <c r="EJ1365" s="34"/>
      <c r="EK1365" s="34"/>
      <c r="EL1365" s="34"/>
      <c r="EM1365" s="34"/>
      <c r="EN1365" s="34"/>
      <c r="EO1365" s="34"/>
      <c r="EP1365" s="34"/>
      <c r="EQ1365" s="34"/>
      <c r="ER1365" s="34"/>
      <c r="ES1365" s="34"/>
      <c r="ET1365" s="34"/>
      <c r="EU1365" s="34"/>
      <c r="EV1365" s="34"/>
      <c r="EW1365" s="34"/>
      <c r="EX1365" s="34"/>
      <c r="EY1365" s="34"/>
      <c r="EZ1365" s="34"/>
      <c r="FA1365" s="34"/>
      <c r="FB1365" s="34"/>
      <c r="FC1365" s="34"/>
      <c r="FD1365" s="34"/>
      <c r="FE1365" s="34"/>
      <c r="FF1365" s="34"/>
      <c r="FG1365" s="34"/>
      <c r="FH1365" s="34"/>
      <c r="FI1365" s="34"/>
      <c r="FJ1365" s="34"/>
      <c r="FK1365" s="34"/>
      <c r="FL1365" s="34"/>
      <c r="FM1365" s="34"/>
      <c r="FN1365" s="34"/>
      <c r="FO1365" s="34"/>
      <c r="FP1365" s="34"/>
      <c r="FQ1365" s="34"/>
      <c r="FR1365" s="34"/>
      <c r="FS1365" s="34"/>
      <c r="FT1365" s="34"/>
      <c r="FU1365" s="34"/>
      <c r="FV1365" s="34"/>
      <c r="FW1365" s="34"/>
      <c r="FX1365" s="34"/>
      <c r="FY1365" s="34"/>
      <c r="FZ1365" s="34"/>
      <c r="GA1365" s="34"/>
      <c r="GB1365" s="34"/>
      <c r="GC1365" s="34"/>
      <c r="GD1365" s="34"/>
      <c r="GE1365" s="34"/>
      <c r="GF1365" s="34"/>
      <c r="GG1365" s="34"/>
      <c r="GH1365" s="34"/>
      <c r="GI1365" s="34"/>
      <c r="GJ1365" s="34"/>
      <c r="GK1365" s="34"/>
      <c r="GL1365" s="34"/>
      <c r="GM1365" s="34"/>
      <c r="GN1365" s="34"/>
      <c r="GO1365" s="34"/>
      <c r="GP1365" s="34"/>
      <c r="GQ1365" s="34"/>
      <c r="GR1365" s="34"/>
      <c r="GS1365" s="34"/>
      <c r="GT1365" s="34"/>
      <c r="GU1365" s="34"/>
      <c r="GV1365" s="34"/>
      <c r="GW1365" s="34"/>
      <c r="GX1365" s="34"/>
      <c r="GY1365" s="34"/>
      <c r="GZ1365" s="34"/>
      <c r="HA1365" s="34"/>
      <c r="HB1365" s="34"/>
      <c r="HC1365" s="34"/>
      <c r="HD1365" s="34"/>
      <c r="HE1365" s="34"/>
      <c r="HF1365" s="34"/>
      <c r="HG1365" s="34"/>
      <c r="HH1365" s="34"/>
      <c r="HI1365" s="34"/>
      <c r="HJ1365" s="34"/>
      <c r="HK1365" s="34"/>
      <c r="HL1365" s="34"/>
      <c r="HM1365" s="34"/>
      <c r="HN1365" s="34"/>
      <c r="HO1365" s="34"/>
      <c r="HP1365" s="34"/>
      <c r="HQ1365" s="34"/>
      <c r="HR1365" s="34"/>
      <c r="HS1365" s="34"/>
      <c r="HT1365" s="34"/>
      <c r="HU1365" s="34"/>
      <c r="HV1365" s="34"/>
      <c r="HW1365" s="34"/>
      <c r="HX1365" s="34"/>
      <c r="HY1365" s="34"/>
      <c r="HZ1365" s="34"/>
      <c r="IA1365" s="34"/>
      <c r="IB1365" s="34"/>
      <c r="IC1365" s="34"/>
      <c r="ID1365" s="34"/>
      <c r="IE1365" s="34"/>
      <c r="IF1365" s="34"/>
      <c r="IG1365" s="34"/>
      <c r="IH1365" s="34"/>
      <c r="II1365" s="34"/>
      <c r="IJ1365" s="34"/>
      <c r="IK1365" s="34"/>
      <c r="IL1365" s="34"/>
      <c r="IM1365" s="34"/>
      <c r="IN1365" s="34"/>
      <c r="IO1365" s="34"/>
      <c r="IP1365" s="34"/>
      <c r="IQ1365" s="34"/>
      <c r="IR1365" s="34"/>
      <c r="IS1365" s="34"/>
      <c r="IT1365" s="34"/>
      <c r="IU1365" s="34"/>
      <c r="IV1365" s="34"/>
      <c r="IW1365" s="34"/>
      <c r="IX1365" s="34"/>
      <c r="IY1365" s="34"/>
      <c r="IZ1365" s="34"/>
      <c r="JA1365" s="34"/>
      <c r="JB1365" s="34"/>
      <c r="JC1365" s="34"/>
      <c r="JD1365" s="34"/>
      <c r="JE1365" s="34"/>
      <c r="JF1365" s="34"/>
      <c r="JG1365" s="34"/>
      <c r="JH1365" s="34"/>
      <c r="JI1365" s="34"/>
      <c r="JJ1365" s="34"/>
      <c r="JK1365" s="34"/>
      <c r="JL1365" s="34"/>
      <c r="JM1365" s="34"/>
      <c r="JN1365" s="34"/>
      <c r="JO1365" s="34"/>
      <c r="JP1365" s="34"/>
      <c r="JQ1365" s="34"/>
      <c r="JR1365" s="34"/>
      <c r="JS1365" s="34"/>
      <c r="JT1365" s="34"/>
      <c r="JU1365" s="34"/>
      <c r="JV1365" s="34"/>
      <c r="JW1365" s="34"/>
      <c r="JX1365" s="34"/>
      <c r="JY1365" s="34"/>
      <c r="JZ1365" s="34"/>
      <c r="KA1365" s="34"/>
      <c r="KB1365" s="34"/>
      <c r="KC1365" s="34"/>
      <c r="KD1365" s="34"/>
      <c r="KE1365" s="34"/>
      <c r="KF1365" s="34"/>
      <c r="KG1365" s="34"/>
      <c r="KH1365" s="34"/>
      <c r="KI1365" s="34"/>
      <c r="KJ1365" s="34"/>
      <c r="KK1365" s="34"/>
      <c r="KL1365" s="34"/>
      <c r="KM1365" s="34"/>
      <c r="KN1365" s="34"/>
      <c r="KO1365" s="34"/>
      <c r="KP1365" s="34"/>
      <c r="KQ1365" s="34"/>
      <c r="KR1365" s="34"/>
      <c r="KS1365" s="34"/>
      <c r="KT1365" s="34"/>
      <c r="KU1365" s="34"/>
      <c r="KV1365" s="34"/>
      <c r="KW1365" s="34"/>
      <c r="KX1365" s="34"/>
      <c r="KY1365" s="34"/>
      <c r="KZ1365" s="34"/>
      <c r="LA1365" s="34"/>
      <c r="LB1365" s="34"/>
      <c r="LC1365" s="34"/>
      <c r="LD1365" s="34"/>
      <c r="LE1365" s="34"/>
      <c r="LF1365" s="34"/>
      <c r="LG1365" s="34"/>
      <c r="LH1365" s="34"/>
      <c r="LI1365" s="34"/>
      <c r="LJ1365" s="34"/>
      <c r="LK1365" s="34"/>
      <c r="LL1365" s="34"/>
      <c r="LM1365" s="34"/>
      <c r="LN1365" s="34"/>
      <c r="LO1365" s="34"/>
      <c r="LP1365" s="34"/>
      <c r="LQ1365" s="34"/>
      <c r="LR1365" s="34"/>
      <c r="LS1365" s="34"/>
      <c r="LT1365" s="34"/>
      <c r="LU1365" s="34"/>
      <c r="LV1365" s="34"/>
      <c r="LW1365" s="34"/>
      <c r="LX1365" s="34"/>
      <c r="LY1365" s="34"/>
      <c r="LZ1365" s="34"/>
      <c r="MA1365" s="34"/>
      <c r="MB1365" s="34"/>
      <c r="MC1365" s="34"/>
      <c r="MD1365" s="34"/>
      <c r="ME1365" s="34"/>
      <c r="MF1365" s="34"/>
      <c r="MG1365" s="34"/>
      <c r="MH1365" s="34"/>
      <c r="MI1365" s="34"/>
      <c r="MJ1365" s="34"/>
      <c r="MK1365" s="34"/>
      <c r="ML1365" s="34"/>
      <c r="MM1365" s="34"/>
      <c r="MN1365" s="34"/>
      <c r="MO1365" s="34"/>
      <c r="MP1365" s="34"/>
      <c r="MQ1365" s="34"/>
      <c r="MR1365" s="34"/>
      <c r="MS1365" s="34"/>
      <c r="MT1365" s="34"/>
      <c r="MU1365" s="34"/>
      <c r="MV1365" s="34"/>
      <c r="MW1365" s="34"/>
      <c r="MX1365" s="34"/>
      <c r="MY1365" s="34"/>
      <c r="MZ1365" s="34"/>
      <c r="NA1365" s="34"/>
      <c r="NB1365" s="34"/>
      <c r="NC1365" s="34"/>
      <c r="ND1365" s="34"/>
      <c r="NE1365" s="34"/>
      <c r="NF1365" s="34"/>
      <c r="NG1365" s="34"/>
      <c r="NH1365" s="34"/>
      <c r="NI1365" s="34"/>
      <c r="NJ1365" s="34"/>
      <c r="NK1365" s="34"/>
      <c r="NL1365" s="34"/>
      <c r="NM1365" s="34"/>
      <c r="NN1365" s="34"/>
      <c r="NO1365" s="34"/>
      <c r="NP1365" s="34"/>
      <c r="NQ1365" s="34"/>
      <c r="NR1365" s="34"/>
      <c r="NS1365" s="34"/>
      <c r="NT1365" s="34"/>
      <c r="NU1365" s="34"/>
      <c r="NV1365" s="34"/>
      <c r="NW1365" s="34"/>
      <c r="NX1365" s="34"/>
      <c r="NY1365" s="34"/>
      <c r="NZ1365" s="34"/>
      <c r="OA1365" s="34"/>
      <c r="OB1365" s="34"/>
      <c r="OC1365" s="34"/>
      <c r="OD1365" s="34"/>
      <c r="OE1365" s="34"/>
      <c r="OF1365" s="34"/>
      <c r="OG1365" s="34"/>
      <c r="OH1365" s="34"/>
      <c r="OI1365" s="34"/>
      <c r="OJ1365" s="34"/>
      <c r="OK1365" s="34"/>
      <c r="OL1365" s="34"/>
      <c r="OM1365" s="34"/>
      <c r="ON1365" s="34"/>
      <c r="OO1365" s="34"/>
      <c r="OP1365" s="34"/>
      <c r="OQ1365" s="34"/>
      <c r="OR1365" s="34"/>
      <c r="OS1365" s="34"/>
      <c r="OT1365" s="34"/>
      <c r="OU1365" s="34"/>
      <c r="OV1365" s="34"/>
      <c r="OW1365" s="34"/>
      <c r="OX1365" s="34"/>
      <c r="OY1365" s="34"/>
      <c r="OZ1365" s="34"/>
      <c r="PA1365" s="34"/>
      <c r="PB1365" s="34"/>
      <c r="PC1365" s="34"/>
      <c r="PD1365" s="34"/>
      <c r="PE1365" s="34"/>
      <c r="PF1365" s="34"/>
      <c r="PG1365" s="34"/>
      <c r="PH1365" s="34"/>
      <c r="PI1365" s="34"/>
      <c r="PJ1365" s="34"/>
      <c r="PK1365" s="34"/>
      <c r="PL1365" s="34"/>
      <c r="PM1365" s="34"/>
      <c r="PN1365" s="34"/>
      <c r="PO1365" s="34"/>
      <c r="PP1365" s="34"/>
      <c r="PQ1365" s="34"/>
      <c r="PR1365" s="34"/>
      <c r="PS1365" s="34"/>
      <c r="PT1365" s="34"/>
      <c r="PU1365" s="34"/>
      <c r="PV1365" s="34"/>
      <c r="PW1365" s="34"/>
      <c r="PX1365" s="34"/>
      <c r="PY1365" s="34"/>
      <c r="PZ1365" s="34"/>
      <c r="QA1365" s="34"/>
      <c r="QB1365" s="34"/>
      <c r="QC1365" s="34"/>
      <c r="QD1365" s="34"/>
      <c r="QE1365" s="34"/>
      <c r="QF1365" s="34"/>
      <c r="QG1365" s="34"/>
      <c r="QH1365" s="34"/>
      <c r="QI1365" s="34"/>
      <c r="QJ1365" s="34"/>
      <c r="QK1365" s="34"/>
      <c r="QL1365" s="34"/>
      <c r="QM1365" s="34"/>
      <c r="QN1365" s="34"/>
      <c r="QO1365" s="34"/>
      <c r="QP1365" s="34"/>
      <c r="QQ1365" s="34"/>
      <c r="QR1365" s="34"/>
      <c r="QS1365" s="34"/>
      <c r="QT1365" s="34"/>
      <c r="QU1365" s="34"/>
      <c r="QV1365" s="34"/>
      <c r="QW1365" s="34"/>
      <c r="QX1365" s="34"/>
      <c r="QY1365" s="34"/>
      <c r="QZ1365" s="34"/>
      <c r="RA1365" s="34"/>
      <c r="RB1365" s="34"/>
      <c r="RC1365" s="34"/>
      <c r="RD1365" s="34"/>
      <c r="RE1365" s="34"/>
      <c r="RF1365" s="34"/>
      <c r="RG1365" s="34"/>
      <c r="RH1365" s="34"/>
      <c r="RI1365" s="34"/>
      <c r="RJ1365" s="34"/>
      <c r="RK1365" s="34"/>
      <c r="RL1365" s="34"/>
      <c r="RM1365" s="34"/>
      <c r="RN1365" s="34"/>
      <c r="RO1365" s="34"/>
      <c r="RP1365" s="34"/>
      <c r="RQ1365" s="34"/>
      <c r="RR1365" s="34"/>
      <c r="RS1365" s="34"/>
      <c r="RT1365" s="34"/>
      <c r="RU1365" s="34"/>
      <c r="RV1365" s="34"/>
      <c r="RW1365" s="34"/>
      <c r="RX1365" s="34"/>
      <c r="RY1365" s="34"/>
      <c r="RZ1365" s="34"/>
      <c r="SA1365" s="34"/>
      <c r="SB1365" s="34"/>
      <c r="SC1365" s="34"/>
      <c r="SD1365" s="34"/>
      <c r="SE1365" s="34"/>
      <c r="SF1365" s="34"/>
      <c r="SG1365" s="34"/>
      <c r="SH1365" s="34"/>
      <c r="SI1365" s="34"/>
      <c r="SJ1365" s="34"/>
      <c r="SK1365" s="34"/>
      <c r="SL1365" s="34"/>
      <c r="SM1365" s="34"/>
      <c r="SN1365" s="34"/>
      <c r="SO1365" s="34"/>
      <c r="SP1365" s="34"/>
      <c r="SQ1365" s="34"/>
      <c r="SR1365" s="34"/>
      <c r="SS1365" s="34"/>
      <c r="ST1365" s="34"/>
      <c r="SU1365" s="34"/>
      <c r="SV1365" s="34"/>
      <c r="SW1365" s="34"/>
      <c r="SX1365" s="34"/>
      <c r="SY1365" s="34"/>
      <c r="SZ1365" s="34"/>
      <c r="TA1365" s="34"/>
      <c r="TB1365" s="34"/>
      <c r="TC1365" s="34"/>
      <c r="TD1365" s="34"/>
      <c r="TE1365" s="34"/>
      <c r="TF1365" s="34"/>
      <c r="TG1365" s="34"/>
      <c r="TH1365" s="34"/>
      <c r="TI1365" s="34"/>
      <c r="TJ1365" s="34"/>
      <c r="TK1365" s="34"/>
      <c r="TL1365" s="34"/>
      <c r="TM1365" s="34"/>
      <c r="TN1365" s="34"/>
      <c r="TO1365" s="34"/>
      <c r="TP1365" s="34"/>
      <c r="TQ1365" s="34"/>
      <c r="TR1365" s="34"/>
      <c r="TS1365" s="34"/>
      <c r="TT1365" s="34"/>
      <c r="TU1365" s="34"/>
      <c r="TV1365" s="34"/>
      <c r="TW1365" s="34"/>
      <c r="TX1365" s="34"/>
      <c r="TY1365" s="34"/>
      <c r="TZ1365" s="34"/>
      <c r="UA1365" s="34"/>
      <c r="UB1365" s="34"/>
      <c r="UC1365" s="34"/>
      <c r="UD1365" s="34"/>
      <c r="UE1365" s="34"/>
      <c r="UF1365" s="34"/>
      <c r="UG1365" s="34"/>
      <c r="UH1365" s="34"/>
      <c r="UI1365" s="34"/>
      <c r="UJ1365" s="34"/>
      <c r="UK1365" s="34"/>
      <c r="UL1365" s="34"/>
      <c r="UM1365" s="34"/>
      <c r="UN1365" s="34"/>
      <c r="UO1365" s="34"/>
      <c r="UP1365" s="34"/>
      <c r="UQ1365" s="34"/>
      <c r="UR1365" s="34"/>
      <c r="US1365" s="34"/>
      <c r="UT1365" s="34"/>
      <c r="UU1365" s="34"/>
      <c r="UV1365" s="34"/>
      <c r="UW1365" s="34"/>
      <c r="UX1365" s="34"/>
      <c r="UY1365" s="34"/>
      <c r="UZ1365" s="34"/>
      <c r="VA1365" s="34"/>
      <c r="VB1365" s="34"/>
      <c r="VC1365" s="34"/>
      <c r="VD1365" s="34"/>
      <c r="VE1365" s="34"/>
      <c r="VF1365" s="34"/>
      <c r="VG1365" s="34"/>
      <c r="VH1365" s="34"/>
      <c r="VI1365" s="34"/>
      <c r="VJ1365" s="34"/>
      <c r="VK1365" s="34"/>
      <c r="VL1365" s="34"/>
      <c r="VM1365" s="34"/>
      <c r="VN1365" s="34"/>
      <c r="VO1365" s="34"/>
      <c r="VP1365" s="34"/>
      <c r="VQ1365" s="34"/>
      <c r="VR1365" s="34"/>
      <c r="VS1365" s="34"/>
      <c r="VT1365" s="34"/>
      <c r="VU1365" s="34"/>
      <c r="VV1365" s="34"/>
      <c r="VW1365" s="34"/>
      <c r="VX1365" s="34"/>
      <c r="VY1365" s="34"/>
      <c r="VZ1365" s="34"/>
      <c r="WA1365" s="34"/>
      <c r="WB1365" s="34"/>
    </row>
    <row r="1430" spans="1:600" x14ac:dyDescent="0.35">
      <c r="A1430" s="34"/>
      <c r="B1430" s="34"/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34"/>
      <c r="DV1430" s="34"/>
      <c r="DW1430" s="34"/>
      <c r="DX1430" s="34"/>
      <c r="DY1430" s="34"/>
      <c r="DZ1430" s="34"/>
      <c r="EA1430" s="34"/>
      <c r="EB1430" s="34"/>
      <c r="EC1430" s="34"/>
      <c r="ED1430" s="34"/>
      <c r="EE1430" s="34"/>
      <c r="EF1430" s="34"/>
      <c r="EG1430" s="34"/>
      <c r="EH1430" s="34"/>
      <c r="EI1430" s="34"/>
      <c r="EJ1430" s="34"/>
      <c r="EK1430" s="34"/>
      <c r="EL1430" s="34"/>
      <c r="EM1430" s="34"/>
      <c r="EN1430" s="34"/>
      <c r="EO1430" s="34"/>
      <c r="EP1430" s="34"/>
      <c r="EQ1430" s="34"/>
      <c r="ER1430" s="34"/>
      <c r="ES1430" s="34"/>
      <c r="ET1430" s="34"/>
      <c r="EU1430" s="34"/>
      <c r="EV1430" s="34"/>
      <c r="EW1430" s="34"/>
      <c r="EX1430" s="34"/>
      <c r="EY1430" s="34"/>
      <c r="EZ1430" s="34"/>
      <c r="FA1430" s="34"/>
      <c r="FB1430" s="34"/>
      <c r="FC1430" s="34"/>
      <c r="FD1430" s="34"/>
      <c r="FE1430" s="34"/>
      <c r="FF1430" s="34"/>
      <c r="FG1430" s="34"/>
      <c r="FH1430" s="34"/>
      <c r="FI1430" s="34"/>
      <c r="FJ1430" s="34"/>
      <c r="FK1430" s="34"/>
      <c r="FL1430" s="34"/>
      <c r="FM1430" s="34"/>
      <c r="FN1430" s="34"/>
      <c r="FO1430" s="34"/>
      <c r="FP1430" s="34"/>
      <c r="FQ1430" s="34"/>
      <c r="FR1430" s="34"/>
      <c r="FS1430" s="34"/>
      <c r="FT1430" s="34"/>
      <c r="FU1430" s="34"/>
      <c r="FV1430" s="34"/>
      <c r="FW1430" s="34"/>
      <c r="FX1430" s="34"/>
      <c r="FY1430" s="34"/>
      <c r="FZ1430" s="34"/>
      <c r="GA1430" s="34"/>
      <c r="GB1430" s="34"/>
      <c r="GC1430" s="34"/>
      <c r="GD1430" s="34"/>
      <c r="GE1430" s="34"/>
      <c r="GF1430" s="34"/>
      <c r="GG1430" s="34"/>
      <c r="GH1430" s="34"/>
      <c r="GI1430" s="34"/>
      <c r="GJ1430" s="34"/>
      <c r="GK1430" s="34"/>
      <c r="GL1430" s="34"/>
      <c r="GM1430" s="34"/>
      <c r="GN1430" s="34"/>
      <c r="GO1430" s="34"/>
      <c r="GP1430" s="34"/>
      <c r="GQ1430" s="34"/>
      <c r="GR1430" s="34"/>
      <c r="GS1430" s="34"/>
      <c r="GT1430" s="34"/>
      <c r="GU1430" s="34"/>
      <c r="GV1430" s="34"/>
      <c r="GW1430" s="34"/>
      <c r="GX1430" s="34"/>
      <c r="GY1430" s="34"/>
      <c r="GZ1430" s="34"/>
      <c r="HA1430" s="34"/>
      <c r="HB1430" s="34"/>
      <c r="HC1430" s="34"/>
      <c r="HD1430" s="34"/>
      <c r="HE1430" s="34"/>
      <c r="HF1430" s="34"/>
      <c r="HG1430" s="34"/>
      <c r="HH1430" s="34"/>
      <c r="HI1430" s="34"/>
      <c r="HJ1430" s="34"/>
      <c r="HK1430" s="34"/>
      <c r="HL1430" s="34"/>
      <c r="HM1430" s="34"/>
      <c r="HN1430" s="34"/>
      <c r="HO1430" s="34"/>
      <c r="HP1430" s="34"/>
      <c r="HQ1430" s="34"/>
      <c r="HR1430" s="34"/>
      <c r="HS1430" s="34"/>
      <c r="HT1430" s="34"/>
      <c r="HU1430" s="34"/>
      <c r="HV1430" s="34"/>
      <c r="HW1430" s="34"/>
      <c r="HX1430" s="34"/>
      <c r="HY1430" s="34"/>
      <c r="HZ1430" s="34"/>
      <c r="IA1430" s="34"/>
      <c r="IB1430" s="34"/>
      <c r="IC1430" s="34"/>
      <c r="ID1430" s="34"/>
      <c r="IE1430" s="34"/>
      <c r="IF1430" s="34"/>
      <c r="IG1430" s="34"/>
      <c r="IH1430" s="34"/>
      <c r="II1430" s="34"/>
      <c r="IJ1430" s="34"/>
      <c r="IK1430" s="34"/>
      <c r="IL1430" s="34"/>
      <c r="IM1430" s="34"/>
      <c r="IN1430" s="34"/>
      <c r="IO1430" s="34"/>
      <c r="IP1430" s="34"/>
      <c r="IQ1430" s="34"/>
      <c r="IR1430" s="34"/>
      <c r="IS1430" s="34"/>
      <c r="IT1430" s="34"/>
      <c r="IU1430" s="34"/>
      <c r="IV1430" s="34"/>
      <c r="IW1430" s="34"/>
      <c r="IX1430" s="34"/>
      <c r="IY1430" s="34"/>
      <c r="IZ1430" s="34"/>
      <c r="JA1430" s="34"/>
      <c r="JB1430" s="34"/>
      <c r="JC1430" s="34"/>
      <c r="JD1430" s="34"/>
      <c r="JE1430" s="34"/>
      <c r="JF1430" s="34"/>
      <c r="JG1430" s="34"/>
      <c r="JH1430" s="34"/>
      <c r="JI1430" s="34"/>
      <c r="JJ1430" s="34"/>
      <c r="JK1430" s="34"/>
      <c r="JL1430" s="34"/>
      <c r="JM1430" s="34"/>
      <c r="JN1430" s="34"/>
      <c r="JO1430" s="34"/>
      <c r="JP1430" s="34"/>
      <c r="JQ1430" s="34"/>
      <c r="JR1430" s="34"/>
      <c r="JS1430" s="34"/>
      <c r="JT1430" s="34"/>
      <c r="JU1430" s="34"/>
      <c r="JV1430" s="34"/>
      <c r="JW1430" s="34"/>
      <c r="JX1430" s="34"/>
      <c r="JY1430" s="34"/>
      <c r="JZ1430" s="34"/>
      <c r="KA1430" s="34"/>
      <c r="KB1430" s="34"/>
      <c r="KC1430" s="34"/>
      <c r="KD1430" s="34"/>
      <c r="KE1430" s="34"/>
      <c r="KF1430" s="34"/>
      <c r="KG1430" s="34"/>
      <c r="KH1430" s="34"/>
      <c r="KI1430" s="34"/>
      <c r="KJ1430" s="34"/>
      <c r="KK1430" s="34"/>
      <c r="KL1430" s="34"/>
      <c r="KM1430" s="34"/>
      <c r="KN1430" s="34"/>
      <c r="KO1430" s="34"/>
      <c r="KP1430" s="34"/>
      <c r="KQ1430" s="34"/>
      <c r="KR1430" s="34"/>
      <c r="KS1430" s="34"/>
      <c r="KT1430" s="34"/>
      <c r="KU1430" s="34"/>
      <c r="KV1430" s="34"/>
      <c r="KW1430" s="34"/>
      <c r="KX1430" s="34"/>
      <c r="KY1430" s="34"/>
      <c r="KZ1430" s="34"/>
      <c r="LA1430" s="34"/>
      <c r="LB1430" s="34"/>
      <c r="LC1430" s="34"/>
      <c r="LD1430" s="34"/>
      <c r="LE1430" s="34"/>
      <c r="LF1430" s="34"/>
      <c r="LG1430" s="34"/>
      <c r="LH1430" s="34"/>
      <c r="LI1430" s="34"/>
      <c r="LJ1430" s="34"/>
      <c r="LK1430" s="34"/>
      <c r="LL1430" s="34"/>
      <c r="LM1430" s="34"/>
      <c r="LN1430" s="34"/>
      <c r="LO1430" s="34"/>
      <c r="LP1430" s="34"/>
      <c r="LQ1430" s="34"/>
      <c r="LR1430" s="34"/>
      <c r="LS1430" s="34"/>
      <c r="LT1430" s="34"/>
      <c r="LU1430" s="34"/>
      <c r="LV1430" s="34"/>
      <c r="LW1430" s="34"/>
      <c r="LX1430" s="34"/>
      <c r="LY1430" s="34"/>
      <c r="LZ1430" s="34"/>
      <c r="MA1430" s="34"/>
      <c r="MB1430" s="34"/>
      <c r="MC1430" s="34"/>
      <c r="MD1430" s="34"/>
      <c r="ME1430" s="34"/>
      <c r="MF1430" s="34"/>
      <c r="MG1430" s="34"/>
      <c r="MH1430" s="34"/>
      <c r="MI1430" s="34"/>
      <c r="MJ1430" s="34"/>
      <c r="MK1430" s="34"/>
      <c r="ML1430" s="34"/>
      <c r="MM1430" s="34"/>
      <c r="MN1430" s="34"/>
      <c r="MO1430" s="34"/>
      <c r="MP1430" s="34"/>
      <c r="MQ1430" s="34"/>
      <c r="MR1430" s="34"/>
      <c r="MS1430" s="34"/>
      <c r="MT1430" s="34"/>
      <c r="MU1430" s="34"/>
      <c r="MV1430" s="34"/>
      <c r="MW1430" s="34"/>
      <c r="MX1430" s="34"/>
      <c r="MY1430" s="34"/>
      <c r="MZ1430" s="34"/>
      <c r="NA1430" s="34"/>
      <c r="NB1430" s="34"/>
      <c r="NC1430" s="34"/>
      <c r="ND1430" s="34"/>
      <c r="NE1430" s="34"/>
      <c r="NF1430" s="34"/>
      <c r="NG1430" s="34"/>
      <c r="NH1430" s="34"/>
      <c r="NI1430" s="34"/>
      <c r="NJ1430" s="34"/>
      <c r="NK1430" s="34"/>
      <c r="NL1430" s="34"/>
      <c r="NM1430" s="34"/>
      <c r="NN1430" s="34"/>
      <c r="NO1430" s="34"/>
      <c r="NP1430" s="34"/>
      <c r="NQ1430" s="34"/>
      <c r="NR1430" s="34"/>
      <c r="NS1430" s="34"/>
      <c r="NT1430" s="34"/>
      <c r="NU1430" s="34"/>
      <c r="NV1430" s="34"/>
      <c r="NW1430" s="34"/>
      <c r="NX1430" s="34"/>
      <c r="NY1430" s="34"/>
      <c r="NZ1430" s="34"/>
      <c r="OA1430" s="34"/>
      <c r="OB1430" s="34"/>
      <c r="OC1430" s="34"/>
      <c r="OD1430" s="34"/>
      <c r="OE1430" s="34"/>
      <c r="OF1430" s="34"/>
      <c r="OG1430" s="34"/>
      <c r="OH1430" s="34"/>
      <c r="OI1430" s="34"/>
      <c r="OJ1430" s="34"/>
      <c r="OK1430" s="34"/>
      <c r="OL1430" s="34"/>
      <c r="OM1430" s="34"/>
      <c r="ON1430" s="34"/>
      <c r="OO1430" s="34"/>
      <c r="OP1430" s="34"/>
      <c r="OQ1430" s="34"/>
      <c r="OR1430" s="34"/>
      <c r="OS1430" s="34"/>
      <c r="OT1430" s="34"/>
      <c r="OU1430" s="34"/>
      <c r="OV1430" s="34"/>
      <c r="OW1430" s="34"/>
      <c r="OX1430" s="34"/>
      <c r="OY1430" s="34"/>
      <c r="OZ1430" s="34"/>
      <c r="PA1430" s="34"/>
      <c r="PB1430" s="34"/>
      <c r="PC1430" s="34"/>
      <c r="PD1430" s="34"/>
      <c r="PE1430" s="34"/>
      <c r="PF1430" s="34"/>
      <c r="PG1430" s="34"/>
      <c r="PH1430" s="34"/>
      <c r="PI1430" s="34"/>
      <c r="PJ1430" s="34"/>
      <c r="PK1430" s="34"/>
      <c r="PL1430" s="34"/>
      <c r="PM1430" s="34"/>
      <c r="PN1430" s="34"/>
      <c r="PO1430" s="34"/>
      <c r="PP1430" s="34"/>
      <c r="PQ1430" s="34"/>
      <c r="PR1430" s="34"/>
      <c r="PS1430" s="34"/>
      <c r="PT1430" s="34"/>
      <c r="PU1430" s="34"/>
      <c r="PV1430" s="34"/>
      <c r="PW1430" s="34"/>
      <c r="PX1430" s="34"/>
      <c r="PY1430" s="34"/>
      <c r="PZ1430" s="34"/>
      <c r="QA1430" s="34"/>
      <c r="QB1430" s="34"/>
      <c r="QC1430" s="34"/>
      <c r="QD1430" s="34"/>
      <c r="QE1430" s="34"/>
      <c r="QF1430" s="34"/>
      <c r="QG1430" s="34"/>
      <c r="QH1430" s="34"/>
      <c r="QI1430" s="34"/>
      <c r="QJ1430" s="34"/>
      <c r="QK1430" s="34"/>
      <c r="QL1430" s="34"/>
      <c r="QM1430" s="34"/>
      <c r="QN1430" s="34"/>
      <c r="QO1430" s="34"/>
      <c r="QP1430" s="34"/>
      <c r="QQ1430" s="34"/>
      <c r="QR1430" s="34"/>
      <c r="QS1430" s="34"/>
      <c r="QT1430" s="34"/>
      <c r="QU1430" s="34"/>
      <c r="QV1430" s="34"/>
      <c r="QW1430" s="34"/>
      <c r="QX1430" s="34"/>
      <c r="QY1430" s="34"/>
      <c r="QZ1430" s="34"/>
      <c r="RA1430" s="34"/>
      <c r="RB1430" s="34"/>
      <c r="RC1430" s="34"/>
      <c r="RD1430" s="34"/>
      <c r="RE1430" s="34"/>
      <c r="RF1430" s="34"/>
      <c r="RG1430" s="34"/>
      <c r="RH1430" s="34"/>
      <c r="RI1430" s="34"/>
      <c r="RJ1430" s="34"/>
      <c r="RK1430" s="34"/>
      <c r="RL1430" s="34"/>
      <c r="RM1430" s="34"/>
      <c r="RN1430" s="34"/>
      <c r="RO1430" s="34"/>
      <c r="RP1430" s="34"/>
      <c r="RQ1430" s="34"/>
      <c r="RR1430" s="34"/>
      <c r="RS1430" s="34"/>
      <c r="RT1430" s="34"/>
      <c r="RU1430" s="34"/>
      <c r="RV1430" s="34"/>
      <c r="RW1430" s="34"/>
      <c r="RX1430" s="34"/>
      <c r="RY1430" s="34"/>
      <c r="RZ1430" s="34"/>
      <c r="SA1430" s="34"/>
      <c r="SB1430" s="34"/>
      <c r="SC1430" s="34"/>
      <c r="SD1430" s="34"/>
      <c r="SE1430" s="34"/>
      <c r="SF1430" s="34"/>
      <c r="SG1430" s="34"/>
      <c r="SH1430" s="34"/>
      <c r="SI1430" s="34"/>
      <c r="SJ1430" s="34"/>
      <c r="SK1430" s="34"/>
      <c r="SL1430" s="34"/>
      <c r="SM1430" s="34"/>
      <c r="SN1430" s="34"/>
      <c r="SO1430" s="34"/>
      <c r="SP1430" s="34"/>
      <c r="SQ1430" s="34"/>
      <c r="SR1430" s="34"/>
      <c r="SS1430" s="34"/>
      <c r="ST1430" s="34"/>
      <c r="SU1430" s="34"/>
      <c r="SV1430" s="34"/>
      <c r="SW1430" s="34"/>
      <c r="SX1430" s="34"/>
      <c r="SY1430" s="34"/>
      <c r="SZ1430" s="34"/>
      <c r="TA1430" s="34"/>
      <c r="TB1430" s="34"/>
      <c r="TC1430" s="34"/>
      <c r="TD1430" s="34"/>
      <c r="TE1430" s="34"/>
      <c r="TF1430" s="34"/>
      <c r="TG1430" s="34"/>
      <c r="TH1430" s="34"/>
      <c r="TI1430" s="34"/>
      <c r="TJ1430" s="34"/>
      <c r="TK1430" s="34"/>
      <c r="TL1430" s="34"/>
      <c r="TM1430" s="34"/>
      <c r="TN1430" s="34"/>
      <c r="TO1430" s="34"/>
      <c r="TP1430" s="34"/>
      <c r="TQ1430" s="34"/>
      <c r="TR1430" s="34"/>
      <c r="TS1430" s="34"/>
      <c r="TT1430" s="34"/>
      <c r="TU1430" s="34"/>
      <c r="TV1430" s="34"/>
      <c r="TW1430" s="34"/>
      <c r="TX1430" s="34"/>
      <c r="TY1430" s="34"/>
      <c r="TZ1430" s="34"/>
      <c r="UA1430" s="34"/>
      <c r="UB1430" s="34"/>
      <c r="UC1430" s="34"/>
      <c r="UD1430" s="34"/>
      <c r="UE1430" s="34"/>
      <c r="UF1430" s="34"/>
      <c r="UG1430" s="34"/>
      <c r="UH1430" s="34"/>
      <c r="UI1430" s="34"/>
      <c r="UJ1430" s="34"/>
      <c r="UK1430" s="34"/>
      <c r="UL1430" s="34"/>
      <c r="UM1430" s="34"/>
      <c r="UN1430" s="34"/>
      <c r="UO1430" s="34"/>
      <c r="UP1430" s="34"/>
      <c r="UQ1430" s="34"/>
      <c r="UR1430" s="34"/>
      <c r="US1430" s="34"/>
      <c r="UT1430" s="34"/>
      <c r="UU1430" s="34"/>
      <c r="UV1430" s="34"/>
      <c r="UW1430" s="34"/>
      <c r="UX1430" s="34"/>
      <c r="UY1430" s="34"/>
      <c r="UZ1430" s="34"/>
      <c r="VA1430" s="34"/>
      <c r="VB1430" s="34"/>
      <c r="VC1430" s="34"/>
      <c r="VD1430" s="34"/>
      <c r="VE1430" s="34"/>
      <c r="VF1430" s="34"/>
      <c r="VG1430" s="34"/>
      <c r="VH1430" s="34"/>
      <c r="VI1430" s="34"/>
      <c r="VJ1430" s="34"/>
      <c r="VK1430" s="34"/>
      <c r="VL1430" s="34"/>
      <c r="VM1430" s="34"/>
      <c r="VN1430" s="34"/>
      <c r="VO1430" s="34"/>
      <c r="VP1430" s="34"/>
      <c r="VQ1430" s="34"/>
      <c r="VR1430" s="34"/>
      <c r="VS1430" s="34"/>
      <c r="VT1430" s="34"/>
      <c r="VU1430" s="34"/>
      <c r="VV1430" s="34"/>
      <c r="VW1430" s="34"/>
      <c r="VX1430" s="34"/>
      <c r="VY1430" s="34"/>
      <c r="VZ1430" s="34"/>
      <c r="WA1430" s="34"/>
      <c r="WB1430" s="34"/>
    </row>
    <row r="1495" spans="1:600" x14ac:dyDescent="0.35">
      <c r="A1495" s="34"/>
      <c r="B1495" s="34"/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34"/>
      <c r="DV1495" s="34"/>
      <c r="DW1495" s="34"/>
      <c r="DX1495" s="34"/>
      <c r="DY1495" s="34"/>
      <c r="DZ1495" s="34"/>
      <c r="EA1495" s="34"/>
      <c r="EB1495" s="34"/>
      <c r="EC1495" s="34"/>
      <c r="ED1495" s="34"/>
      <c r="EE1495" s="34"/>
      <c r="EF1495" s="34"/>
      <c r="EG1495" s="34"/>
      <c r="EH1495" s="34"/>
      <c r="EI1495" s="34"/>
      <c r="EJ1495" s="34"/>
      <c r="EK1495" s="34"/>
      <c r="EL1495" s="34"/>
      <c r="EM1495" s="34"/>
      <c r="EN1495" s="34"/>
      <c r="EO1495" s="34"/>
      <c r="EP1495" s="34"/>
      <c r="EQ1495" s="34"/>
      <c r="ER1495" s="34"/>
      <c r="ES1495" s="34"/>
      <c r="ET1495" s="34"/>
      <c r="EU1495" s="34"/>
      <c r="EV1495" s="34"/>
      <c r="EW1495" s="34"/>
      <c r="EX1495" s="34"/>
      <c r="EY1495" s="34"/>
      <c r="EZ1495" s="34"/>
      <c r="FA1495" s="34"/>
      <c r="FB1495" s="34"/>
      <c r="FC1495" s="34"/>
      <c r="FD1495" s="34"/>
      <c r="FE1495" s="34"/>
      <c r="FF1495" s="34"/>
      <c r="FG1495" s="34"/>
      <c r="FH1495" s="34"/>
      <c r="FI1495" s="34"/>
      <c r="FJ1495" s="34"/>
      <c r="FK1495" s="34"/>
      <c r="FL1495" s="34"/>
      <c r="FM1495" s="34"/>
      <c r="FN1495" s="34"/>
      <c r="FO1495" s="34"/>
      <c r="FP1495" s="34"/>
      <c r="FQ1495" s="34"/>
      <c r="FR1495" s="34"/>
      <c r="FS1495" s="34"/>
      <c r="FT1495" s="34"/>
      <c r="FU1495" s="34"/>
      <c r="FV1495" s="34"/>
      <c r="FW1495" s="34"/>
      <c r="FX1495" s="34"/>
      <c r="FY1495" s="34"/>
      <c r="FZ1495" s="34"/>
      <c r="GA1495" s="34"/>
      <c r="GB1495" s="34"/>
      <c r="GC1495" s="34"/>
      <c r="GD1495" s="34"/>
      <c r="GE1495" s="34"/>
      <c r="GF1495" s="34"/>
      <c r="GG1495" s="34"/>
      <c r="GH1495" s="34"/>
      <c r="GI1495" s="34"/>
      <c r="GJ1495" s="34"/>
      <c r="GK1495" s="34"/>
      <c r="GL1495" s="34"/>
      <c r="GM1495" s="34"/>
      <c r="GN1495" s="34"/>
      <c r="GO1495" s="34"/>
      <c r="GP1495" s="34"/>
      <c r="GQ1495" s="34"/>
      <c r="GR1495" s="34"/>
      <c r="GS1495" s="34"/>
      <c r="GT1495" s="34"/>
      <c r="GU1495" s="34"/>
      <c r="GV1495" s="34"/>
      <c r="GW1495" s="34"/>
      <c r="GX1495" s="34"/>
      <c r="GY1495" s="34"/>
      <c r="GZ1495" s="34"/>
      <c r="HA1495" s="34"/>
      <c r="HB1495" s="34"/>
      <c r="HC1495" s="34"/>
      <c r="HD1495" s="34"/>
      <c r="HE1495" s="34"/>
      <c r="HF1495" s="34"/>
      <c r="HG1495" s="34"/>
      <c r="HH1495" s="34"/>
      <c r="HI1495" s="34"/>
      <c r="HJ1495" s="34"/>
      <c r="HK1495" s="34"/>
      <c r="HL1495" s="34"/>
      <c r="HM1495" s="34"/>
      <c r="HN1495" s="34"/>
      <c r="HO1495" s="34"/>
      <c r="HP1495" s="34"/>
      <c r="HQ1495" s="34"/>
      <c r="HR1495" s="34"/>
      <c r="HS1495" s="34"/>
      <c r="HT1495" s="34"/>
      <c r="HU1495" s="34"/>
      <c r="HV1495" s="34"/>
      <c r="HW1495" s="34"/>
      <c r="HX1495" s="34"/>
      <c r="HY1495" s="34"/>
      <c r="HZ1495" s="34"/>
      <c r="IA1495" s="34"/>
      <c r="IB1495" s="34"/>
      <c r="IC1495" s="34"/>
      <c r="ID1495" s="34"/>
      <c r="IE1495" s="34"/>
      <c r="IF1495" s="34"/>
      <c r="IG1495" s="34"/>
      <c r="IH1495" s="34"/>
      <c r="II1495" s="34"/>
      <c r="IJ1495" s="34"/>
      <c r="IK1495" s="34"/>
      <c r="IL1495" s="34"/>
      <c r="IM1495" s="34"/>
      <c r="IN1495" s="34"/>
      <c r="IO1495" s="34"/>
      <c r="IP1495" s="34"/>
      <c r="IQ1495" s="34"/>
      <c r="IR1495" s="34"/>
      <c r="IS1495" s="34"/>
      <c r="IT1495" s="34"/>
      <c r="IU1495" s="34"/>
      <c r="IV1495" s="34"/>
      <c r="IW1495" s="34"/>
      <c r="IX1495" s="34"/>
      <c r="IY1495" s="34"/>
      <c r="IZ1495" s="34"/>
      <c r="JA1495" s="34"/>
      <c r="JB1495" s="34"/>
      <c r="JC1495" s="34"/>
      <c r="JD1495" s="34"/>
      <c r="JE1495" s="34"/>
      <c r="JF1495" s="34"/>
      <c r="JG1495" s="34"/>
      <c r="JH1495" s="34"/>
      <c r="JI1495" s="34"/>
      <c r="JJ1495" s="34"/>
      <c r="JK1495" s="34"/>
      <c r="JL1495" s="34"/>
      <c r="JM1495" s="34"/>
      <c r="JN1495" s="34"/>
      <c r="JO1495" s="34"/>
      <c r="JP1495" s="34"/>
      <c r="JQ1495" s="34"/>
      <c r="JR1495" s="34"/>
      <c r="JS1495" s="34"/>
      <c r="JT1495" s="34"/>
      <c r="JU1495" s="34"/>
      <c r="JV1495" s="34"/>
      <c r="JW1495" s="34"/>
      <c r="JX1495" s="34"/>
      <c r="JY1495" s="34"/>
      <c r="JZ1495" s="34"/>
      <c r="KA1495" s="34"/>
      <c r="KB1495" s="34"/>
      <c r="KC1495" s="34"/>
      <c r="KD1495" s="34"/>
      <c r="KE1495" s="34"/>
      <c r="KF1495" s="34"/>
      <c r="KG1495" s="34"/>
      <c r="KH1495" s="34"/>
      <c r="KI1495" s="34"/>
      <c r="KJ1495" s="34"/>
      <c r="KK1495" s="34"/>
      <c r="KL1495" s="34"/>
      <c r="KM1495" s="34"/>
      <c r="KN1495" s="34"/>
      <c r="KO1495" s="34"/>
      <c r="KP1495" s="34"/>
      <c r="KQ1495" s="34"/>
      <c r="KR1495" s="34"/>
      <c r="KS1495" s="34"/>
      <c r="KT1495" s="34"/>
      <c r="KU1495" s="34"/>
      <c r="KV1495" s="34"/>
      <c r="KW1495" s="34"/>
      <c r="KX1495" s="34"/>
      <c r="KY1495" s="34"/>
      <c r="KZ1495" s="34"/>
      <c r="LA1495" s="34"/>
      <c r="LB1495" s="34"/>
      <c r="LC1495" s="34"/>
      <c r="LD1495" s="34"/>
      <c r="LE1495" s="34"/>
      <c r="LF1495" s="34"/>
      <c r="LG1495" s="34"/>
      <c r="LH1495" s="34"/>
      <c r="LI1495" s="34"/>
      <c r="LJ1495" s="34"/>
      <c r="LK1495" s="34"/>
      <c r="LL1495" s="34"/>
      <c r="LM1495" s="34"/>
      <c r="LN1495" s="34"/>
      <c r="LO1495" s="34"/>
      <c r="LP1495" s="34"/>
      <c r="LQ1495" s="34"/>
      <c r="LR1495" s="34"/>
      <c r="LS1495" s="34"/>
      <c r="LT1495" s="34"/>
      <c r="LU1495" s="34"/>
      <c r="LV1495" s="34"/>
      <c r="LW1495" s="34"/>
      <c r="LX1495" s="34"/>
      <c r="LY1495" s="34"/>
      <c r="LZ1495" s="34"/>
      <c r="MA1495" s="34"/>
      <c r="MB1495" s="34"/>
      <c r="MC1495" s="34"/>
      <c r="MD1495" s="34"/>
      <c r="ME1495" s="34"/>
      <c r="MF1495" s="34"/>
      <c r="MG1495" s="34"/>
      <c r="MH1495" s="34"/>
      <c r="MI1495" s="34"/>
      <c r="MJ1495" s="34"/>
      <c r="MK1495" s="34"/>
      <c r="ML1495" s="34"/>
      <c r="MM1495" s="34"/>
      <c r="MN1495" s="34"/>
      <c r="MO1495" s="34"/>
      <c r="MP1495" s="34"/>
      <c r="MQ1495" s="34"/>
      <c r="MR1495" s="34"/>
      <c r="MS1495" s="34"/>
      <c r="MT1495" s="34"/>
      <c r="MU1495" s="34"/>
      <c r="MV1495" s="34"/>
      <c r="MW1495" s="34"/>
      <c r="MX1495" s="34"/>
      <c r="MY1495" s="34"/>
      <c r="MZ1495" s="34"/>
      <c r="NA1495" s="34"/>
      <c r="NB1495" s="34"/>
      <c r="NC1495" s="34"/>
      <c r="ND1495" s="34"/>
      <c r="NE1495" s="34"/>
      <c r="NF1495" s="34"/>
      <c r="NG1495" s="34"/>
      <c r="NH1495" s="34"/>
      <c r="NI1495" s="34"/>
      <c r="NJ1495" s="34"/>
      <c r="NK1495" s="34"/>
      <c r="NL1495" s="34"/>
      <c r="NM1495" s="34"/>
      <c r="NN1495" s="34"/>
      <c r="NO1495" s="34"/>
      <c r="NP1495" s="34"/>
      <c r="NQ1495" s="34"/>
      <c r="NR1495" s="34"/>
      <c r="NS1495" s="34"/>
      <c r="NT1495" s="34"/>
      <c r="NU1495" s="34"/>
      <c r="NV1495" s="34"/>
      <c r="NW1495" s="34"/>
      <c r="NX1495" s="34"/>
      <c r="NY1495" s="34"/>
      <c r="NZ1495" s="34"/>
      <c r="OA1495" s="34"/>
      <c r="OB1495" s="34"/>
      <c r="OC1495" s="34"/>
      <c r="OD1495" s="34"/>
      <c r="OE1495" s="34"/>
      <c r="OF1495" s="34"/>
      <c r="OG1495" s="34"/>
      <c r="OH1495" s="34"/>
      <c r="OI1495" s="34"/>
      <c r="OJ1495" s="34"/>
      <c r="OK1495" s="34"/>
      <c r="OL1495" s="34"/>
      <c r="OM1495" s="34"/>
      <c r="ON1495" s="34"/>
      <c r="OO1495" s="34"/>
      <c r="OP1495" s="34"/>
      <c r="OQ1495" s="34"/>
      <c r="OR1495" s="34"/>
      <c r="OS1495" s="34"/>
      <c r="OT1495" s="34"/>
      <c r="OU1495" s="34"/>
      <c r="OV1495" s="34"/>
      <c r="OW1495" s="34"/>
      <c r="OX1495" s="34"/>
      <c r="OY1495" s="34"/>
      <c r="OZ1495" s="34"/>
      <c r="PA1495" s="34"/>
      <c r="PB1495" s="34"/>
      <c r="PC1495" s="34"/>
      <c r="PD1495" s="34"/>
      <c r="PE1495" s="34"/>
      <c r="PF1495" s="34"/>
      <c r="PG1495" s="34"/>
      <c r="PH1495" s="34"/>
      <c r="PI1495" s="34"/>
      <c r="PJ1495" s="34"/>
      <c r="PK1495" s="34"/>
      <c r="PL1495" s="34"/>
      <c r="PM1495" s="34"/>
      <c r="PN1495" s="34"/>
      <c r="PO1495" s="34"/>
      <c r="PP1495" s="34"/>
      <c r="PQ1495" s="34"/>
      <c r="PR1495" s="34"/>
      <c r="PS1495" s="34"/>
      <c r="PT1495" s="34"/>
      <c r="PU1495" s="34"/>
      <c r="PV1495" s="34"/>
      <c r="PW1495" s="34"/>
      <c r="PX1495" s="34"/>
      <c r="PY1495" s="34"/>
      <c r="PZ1495" s="34"/>
      <c r="QA1495" s="34"/>
      <c r="QB1495" s="34"/>
      <c r="QC1495" s="34"/>
      <c r="QD1495" s="34"/>
      <c r="QE1495" s="34"/>
      <c r="QF1495" s="34"/>
      <c r="QG1495" s="34"/>
      <c r="QH1495" s="34"/>
      <c r="QI1495" s="34"/>
      <c r="QJ1495" s="34"/>
      <c r="QK1495" s="34"/>
      <c r="QL1495" s="34"/>
      <c r="QM1495" s="34"/>
      <c r="QN1495" s="34"/>
      <c r="QO1495" s="34"/>
      <c r="QP1495" s="34"/>
      <c r="QQ1495" s="34"/>
      <c r="QR1495" s="34"/>
      <c r="QS1495" s="34"/>
      <c r="QT1495" s="34"/>
      <c r="QU1495" s="34"/>
      <c r="QV1495" s="34"/>
      <c r="QW1495" s="34"/>
      <c r="QX1495" s="34"/>
      <c r="QY1495" s="34"/>
      <c r="QZ1495" s="34"/>
      <c r="RA1495" s="34"/>
      <c r="RB1495" s="34"/>
      <c r="RC1495" s="34"/>
      <c r="RD1495" s="34"/>
      <c r="RE1495" s="34"/>
      <c r="RF1495" s="34"/>
      <c r="RG1495" s="34"/>
      <c r="RH1495" s="34"/>
      <c r="RI1495" s="34"/>
      <c r="RJ1495" s="34"/>
      <c r="RK1495" s="34"/>
      <c r="RL1495" s="34"/>
      <c r="RM1495" s="34"/>
      <c r="RN1495" s="34"/>
      <c r="RO1495" s="34"/>
      <c r="RP1495" s="34"/>
      <c r="RQ1495" s="34"/>
      <c r="RR1495" s="34"/>
      <c r="RS1495" s="34"/>
      <c r="RT1495" s="34"/>
      <c r="RU1495" s="34"/>
      <c r="RV1495" s="34"/>
      <c r="RW1495" s="34"/>
      <c r="RX1495" s="34"/>
      <c r="RY1495" s="34"/>
      <c r="RZ1495" s="34"/>
      <c r="SA1495" s="34"/>
      <c r="SB1495" s="34"/>
      <c r="SC1495" s="34"/>
      <c r="SD1495" s="34"/>
      <c r="SE1495" s="34"/>
      <c r="SF1495" s="34"/>
      <c r="SG1495" s="34"/>
      <c r="SH1495" s="34"/>
      <c r="SI1495" s="34"/>
      <c r="SJ1495" s="34"/>
      <c r="SK1495" s="34"/>
      <c r="SL1495" s="34"/>
      <c r="SM1495" s="34"/>
      <c r="SN1495" s="34"/>
      <c r="SO1495" s="34"/>
      <c r="SP1495" s="34"/>
      <c r="SQ1495" s="34"/>
      <c r="SR1495" s="34"/>
      <c r="SS1495" s="34"/>
      <c r="ST1495" s="34"/>
      <c r="SU1495" s="34"/>
      <c r="SV1495" s="34"/>
      <c r="SW1495" s="34"/>
      <c r="SX1495" s="34"/>
      <c r="SY1495" s="34"/>
      <c r="SZ1495" s="34"/>
      <c r="TA1495" s="34"/>
      <c r="TB1495" s="34"/>
      <c r="TC1495" s="34"/>
      <c r="TD1495" s="34"/>
      <c r="TE1495" s="34"/>
      <c r="TF1495" s="34"/>
      <c r="TG1495" s="34"/>
      <c r="TH1495" s="34"/>
      <c r="TI1495" s="34"/>
      <c r="TJ1495" s="34"/>
      <c r="TK1495" s="34"/>
      <c r="TL1495" s="34"/>
      <c r="TM1495" s="34"/>
      <c r="TN1495" s="34"/>
      <c r="TO1495" s="34"/>
      <c r="TP1495" s="34"/>
      <c r="TQ1495" s="34"/>
      <c r="TR1495" s="34"/>
      <c r="TS1495" s="34"/>
      <c r="TT1495" s="34"/>
      <c r="TU1495" s="34"/>
      <c r="TV1495" s="34"/>
      <c r="TW1495" s="34"/>
      <c r="TX1495" s="34"/>
      <c r="TY1495" s="34"/>
      <c r="TZ1495" s="34"/>
      <c r="UA1495" s="34"/>
      <c r="UB1495" s="34"/>
      <c r="UC1495" s="34"/>
      <c r="UD1495" s="34"/>
      <c r="UE1495" s="34"/>
      <c r="UF1495" s="34"/>
      <c r="UG1495" s="34"/>
      <c r="UH1495" s="34"/>
      <c r="UI1495" s="34"/>
      <c r="UJ1495" s="34"/>
      <c r="UK1495" s="34"/>
      <c r="UL1495" s="34"/>
      <c r="UM1495" s="34"/>
      <c r="UN1495" s="34"/>
      <c r="UO1495" s="34"/>
      <c r="UP1495" s="34"/>
      <c r="UQ1495" s="34"/>
      <c r="UR1495" s="34"/>
      <c r="US1495" s="34"/>
      <c r="UT1495" s="34"/>
      <c r="UU1495" s="34"/>
      <c r="UV1495" s="34"/>
      <c r="UW1495" s="34"/>
      <c r="UX1495" s="34"/>
      <c r="UY1495" s="34"/>
      <c r="UZ1495" s="34"/>
      <c r="VA1495" s="34"/>
      <c r="VB1495" s="34"/>
      <c r="VC1495" s="34"/>
      <c r="VD1495" s="34"/>
      <c r="VE1495" s="34"/>
      <c r="VF1495" s="34"/>
      <c r="VG1495" s="34"/>
      <c r="VH1495" s="34"/>
      <c r="VI1495" s="34"/>
      <c r="VJ1495" s="34"/>
      <c r="VK1495" s="34"/>
      <c r="VL1495" s="34"/>
      <c r="VM1495" s="34"/>
      <c r="VN1495" s="34"/>
      <c r="VO1495" s="34"/>
      <c r="VP1495" s="34"/>
      <c r="VQ1495" s="34"/>
      <c r="VR1495" s="34"/>
      <c r="VS1495" s="34"/>
      <c r="VT1495" s="34"/>
      <c r="VU1495" s="34"/>
      <c r="VV1495" s="34"/>
      <c r="VW1495" s="34"/>
      <c r="VX1495" s="34"/>
      <c r="VY1495" s="34"/>
      <c r="VZ1495" s="34"/>
      <c r="WA1495" s="34"/>
      <c r="WB1495" s="34"/>
    </row>
    <row r="1560" spans="1:600" x14ac:dyDescent="0.35">
      <c r="A1560" s="34"/>
      <c r="B1560" s="34"/>
      <c r="C1560" s="34"/>
      <c r="D1560" s="34"/>
      <c r="E1560" s="34"/>
      <c r="F1560" s="34"/>
      <c r="G1560" s="34"/>
      <c r="H1560" s="34"/>
      <c r="I1560" s="34"/>
      <c r="J1560" s="34"/>
      <c r="K1560" s="34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34"/>
      <c r="DV1560" s="34"/>
      <c r="DW1560" s="34"/>
      <c r="DX1560" s="34"/>
      <c r="DY1560" s="34"/>
      <c r="DZ1560" s="34"/>
      <c r="EA1560" s="34"/>
      <c r="EB1560" s="34"/>
      <c r="EC1560" s="34"/>
      <c r="ED1560" s="34"/>
      <c r="EE1560" s="34"/>
      <c r="EF1560" s="34"/>
      <c r="EG1560" s="34"/>
      <c r="EH1560" s="34"/>
      <c r="EI1560" s="34"/>
      <c r="EJ1560" s="34"/>
      <c r="EK1560" s="34"/>
      <c r="EL1560" s="34"/>
      <c r="EM1560" s="34"/>
      <c r="EN1560" s="34"/>
      <c r="EO1560" s="34"/>
      <c r="EP1560" s="34"/>
      <c r="EQ1560" s="34"/>
      <c r="ER1560" s="34"/>
      <c r="ES1560" s="34"/>
      <c r="ET1560" s="34"/>
      <c r="EU1560" s="34"/>
      <c r="EV1560" s="34"/>
      <c r="EW1560" s="34"/>
      <c r="EX1560" s="34"/>
      <c r="EY1560" s="34"/>
      <c r="EZ1560" s="34"/>
      <c r="FA1560" s="34"/>
      <c r="FB1560" s="34"/>
      <c r="FC1560" s="34"/>
      <c r="FD1560" s="34"/>
      <c r="FE1560" s="34"/>
      <c r="FF1560" s="34"/>
      <c r="FG1560" s="34"/>
      <c r="FH1560" s="34"/>
      <c r="FI1560" s="34"/>
      <c r="FJ1560" s="34"/>
      <c r="FK1560" s="34"/>
      <c r="FL1560" s="34"/>
      <c r="FM1560" s="34"/>
      <c r="FN1560" s="34"/>
      <c r="FO1560" s="34"/>
      <c r="FP1560" s="34"/>
      <c r="FQ1560" s="34"/>
      <c r="FR1560" s="34"/>
      <c r="FS1560" s="34"/>
      <c r="FT1560" s="34"/>
      <c r="FU1560" s="34"/>
      <c r="FV1560" s="34"/>
      <c r="FW1560" s="34"/>
      <c r="FX1560" s="34"/>
      <c r="FY1560" s="34"/>
      <c r="FZ1560" s="34"/>
      <c r="GA1560" s="34"/>
      <c r="GB1560" s="34"/>
      <c r="GC1560" s="34"/>
      <c r="GD1560" s="34"/>
      <c r="GE1560" s="34"/>
      <c r="GF1560" s="34"/>
      <c r="GG1560" s="34"/>
      <c r="GH1560" s="34"/>
      <c r="GI1560" s="34"/>
      <c r="GJ1560" s="34"/>
      <c r="GK1560" s="34"/>
      <c r="GL1560" s="34"/>
      <c r="GM1560" s="34"/>
      <c r="GN1560" s="34"/>
      <c r="GO1560" s="34"/>
      <c r="GP1560" s="34"/>
      <c r="GQ1560" s="34"/>
      <c r="GR1560" s="34"/>
      <c r="GS1560" s="34"/>
      <c r="GT1560" s="34"/>
      <c r="GU1560" s="34"/>
      <c r="GV1560" s="34"/>
      <c r="GW1560" s="34"/>
      <c r="GX1560" s="34"/>
      <c r="GY1560" s="34"/>
      <c r="GZ1560" s="34"/>
      <c r="HA1560" s="34"/>
      <c r="HB1560" s="34"/>
      <c r="HC1560" s="34"/>
      <c r="HD1560" s="34"/>
      <c r="HE1560" s="34"/>
      <c r="HF1560" s="34"/>
      <c r="HG1560" s="34"/>
      <c r="HH1560" s="34"/>
      <c r="HI1560" s="34"/>
      <c r="HJ1560" s="34"/>
      <c r="HK1560" s="34"/>
      <c r="HL1560" s="34"/>
      <c r="HM1560" s="34"/>
      <c r="HN1560" s="34"/>
      <c r="HO1560" s="34"/>
      <c r="HP1560" s="34"/>
      <c r="HQ1560" s="34"/>
      <c r="HR1560" s="34"/>
      <c r="HS1560" s="34"/>
      <c r="HT1560" s="34"/>
      <c r="HU1560" s="34"/>
      <c r="HV1560" s="34"/>
      <c r="HW1560" s="34"/>
      <c r="HX1560" s="34"/>
      <c r="HY1560" s="34"/>
      <c r="HZ1560" s="34"/>
      <c r="IA1560" s="34"/>
      <c r="IB1560" s="34"/>
      <c r="IC1560" s="34"/>
      <c r="ID1560" s="34"/>
      <c r="IE1560" s="34"/>
      <c r="IF1560" s="34"/>
      <c r="IG1560" s="34"/>
      <c r="IH1560" s="34"/>
      <c r="II1560" s="34"/>
      <c r="IJ1560" s="34"/>
      <c r="IK1560" s="34"/>
      <c r="IL1560" s="34"/>
      <c r="IM1560" s="34"/>
      <c r="IN1560" s="34"/>
      <c r="IO1560" s="34"/>
      <c r="IP1560" s="34"/>
      <c r="IQ1560" s="34"/>
      <c r="IR1560" s="34"/>
      <c r="IS1560" s="34"/>
      <c r="IT1560" s="34"/>
      <c r="IU1560" s="34"/>
      <c r="IV1560" s="34"/>
      <c r="IW1560" s="34"/>
      <c r="IX1560" s="34"/>
      <c r="IY1560" s="34"/>
      <c r="IZ1560" s="34"/>
      <c r="JA1560" s="34"/>
      <c r="JB1560" s="34"/>
      <c r="JC1560" s="34"/>
      <c r="JD1560" s="34"/>
      <c r="JE1560" s="34"/>
      <c r="JF1560" s="34"/>
      <c r="JG1560" s="34"/>
      <c r="JH1560" s="34"/>
      <c r="JI1560" s="34"/>
      <c r="JJ1560" s="34"/>
      <c r="JK1560" s="34"/>
      <c r="JL1560" s="34"/>
      <c r="JM1560" s="34"/>
      <c r="JN1560" s="34"/>
      <c r="JO1560" s="34"/>
      <c r="JP1560" s="34"/>
      <c r="JQ1560" s="34"/>
      <c r="JR1560" s="34"/>
      <c r="JS1560" s="34"/>
      <c r="JT1560" s="34"/>
      <c r="JU1560" s="34"/>
      <c r="JV1560" s="34"/>
      <c r="JW1560" s="34"/>
      <c r="JX1560" s="34"/>
      <c r="JY1560" s="34"/>
      <c r="JZ1560" s="34"/>
      <c r="KA1560" s="34"/>
      <c r="KB1560" s="34"/>
      <c r="KC1560" s="34"/>
      <c r="KD1560" s="34"/>
      <c r="KE1560" s="34"/>
      <c r="KF1560" s="34"/>
      <c r="KG1560" s="34"/>
      <c r="KH1560" s="34"/>
      <c r="KI1560" s="34"/>
      <c r="KJ1560" s="34"/>
      <c r="KK1560" s="34"/>
      <c r="KL1560" s="34"/>
      <c r="KM1560" s="34"/>
      <c r="KN1560" s="34"/>
      <c r="KO1560" s="34"/>
      <c r="KP1560" s="34"/>
      <c r="KQ1560" s="34"/>
      <c r="KR1560" s="34"/>
      <c r="KS1560" s="34"/>
      <c r="KT1560" s="34"/>
      <c r="KU1560" s="34"/>
      <c r="KV1560" s="34"/>
      <c r="KW1560" s="34"/>
      <c r="KX1560" s="34"/>
      <c r="KY1560" s="34"/>
      <c r="KZ1560" s="34"/>
      <c r="LA1560" s="34"/>
      <c r="LB1560" s="34"/>
      <c r="LC1560" s="34"/>
      <c r="LD1560" s="34"/>
      <c r="LE1560" s="34"/>
      <c r="LF1560" s="34"/>
      <c r="LG1560" s="34"/>
      <c r="LH1560" s="34"/>
      <c r="LI1560" s="34"/>
      <c r="LJ1560" s="34"/>
      <c r="LK1560" s="34"/>
      <c r="LL1560" s="34"/>
      <c r="LM1560" s="34"/>
      <c r="LN1560" s="34"/>
      <c r="LO1560" s="34"/>
      <c r="LP1560" s="34"/>
      <c r="LQ1560" s="34"/>
      <c r="LR1560" s="34"/>
      <c r="LS1560" s="34"/>
      <c r="LT1560" s="34"/>
      <c r="LU1560" s="34"/>
      <c r="LV1560" s="34"/>
      <c r="LW1560" s="34"/>
      <c r="LX1560" s="34"/>
      <c r="LY1560" s="34"/>
      <c r="LZ1560" s="34"/>
      <c r="MA1560" s="34"/>
      <c r="MB1560" s="34"/>
      <c r="MC1560" s="34"/>
      <c r="MD1560" s="34"/>
      <c r="ME1560" s="34"/>
      <c r="MF1560" s="34"/>
      <c r="MG1560" s="34"/>
      <c r="MH1560" s="34"/>
      <c r="MI1560" s="34"/>
      <c r="MJ1560" s="34"/>
      <c r="MK1560" s="34"/>
      <c r="ML1560" s="34"/>
      <c r="MM1560" s="34"/>
      <c r="MN1560" s="34"/>
      <c r="MO1560" s="34"/>
      <c r="MP1560" s="34"/>
      <c r="MQ1560" s="34"/>
      <c r="MR1560" s="34"/>
      <c r="MS1560" s="34"/>
      <c r="MT1560" s="34"/>
      <c r="MU1560" s="34"/>
      <c r="MV1560" s="34"/>
      <c r="MW1560" s="34"/>
      <c r="MX1560" s="34"/>
      <c r="MY1560" s="34"/>
      <c r="MZ1560" s="34"/>
      <c r="NA1560" s="34"/>
      <c r="NB1560" s="34"/>
      <c r="NC1560" s="34"/>
      <c r="ND1560" s="34"/>
      <c r="NE1560" s="34"/>
      <c r="NF1560" s="34"/>
      <c r="NG1560" s="34"/>
      <c r="NH1560" s="34"/>
      <c r="NI1560" s="34"/>
      <c r="NJ1560" s="34"/>
      <c r="NK1560" s="34"/>
      <c r="NL1560" s="34"/>
      <c r="NM1560" s="34"/>
      <c r="NN1560" s="34"/>
      <c r="NO1560" s="34"/>
      <c r="NP1560" s="34"/>
      <c r="NQ1560" s="34"/>
      <c r="NR1560" s="34"/>
      <c r="NS1560" s="34"/>
      <c r="NT1560" s="34"/>
      <c r="NU1560" s="34"/>
      <c r="NV1560" s="34"/>
      <c r="NW1560" s="34"/>
      <c r="NX1560" s="34"/>
      <c r="NY1560" s="34"/>
      <c r="NZ1560" s="34"/>
      <c r="OA1560" s="34"/>
      <c r="OB1560" s="34"/>
      <c r="OC1560" s="34"/>
      <c r="OD1560" s="34"/>
      <c r="OE1560" s="34"/>
      <c r="OF1560" s="34"/>
      <c r="OG1560" s="34"/>
      <c r="OH1560" s="34"/>
      <c r="OI1560" s="34"/>
      <c r="OJ1560" s="34"/>
      <c r="OK1560" s="34"/>
      <c r="OL1560" s="34"/>
      <c r="OM1560" s="34"/>
      <c r="ON1560" s="34"/>
      <c r="OO1560" s="34"/>
      <c r="OP1560" s="34"/>
      <c r="OQ1560" s="34"/>
      <c r="OR1560" s="34"/>
      <c r="OS1560" s="34"/>
      <c r="OT1560" s="34"/>
      <c r="OU1560" s="34"/>
      <c r="OV1560" s="34"/>
      <c r="OW1560" s="34"/>
      <c r="OX1560" s="34"/>
      <c r="OY1560" s="34"/>
      <c r="OZ1560" s="34"/>
      <c r="PA1560" s="34"/>
      <c r="PB1560" s="34"/>
      <c r="PC1560" s="34"/>
      <c r="PD1560" s="34"/>
      <c r="PE1560" s="34"/>
      <c r="PF1560" s="34"/>
      <c r="PG1560" s="34"/>
      <c r="PH1560" s="34"/>
      <c r="PI1560" s="34"/>
      <c r="PJ1560" s="34"/>
      <c r="PK1560" s="34"/>
      <c r="PL1560" s="34"/>
      <c r="PM1560" s="34"/>
      <c r="PN1560" s="34"/>
      <c r="PO1560" s="34"/>
      <c r="PP1560" s="34"/>
      <c r="PQ1560" s="34"/>
      <c r="PR1560" s="34"/>
      <c r="PS1560" s="34"/>
      <c r="PT1560" s="34"/>
      <c r="PU1560" s="34"/>
      <c r="PV1560" s="34"/>
      <c r="PW1560" s="34"/>
      <c r="PX1560" s="34"/>
      <c r="PY1560" s="34"/>
      <c r="PZ1560" s="34"/>
      <c r="QA1560" s="34"/>
      <c r="QB1560" s="34"/>
      <c r="QC1560" s="34"/>
      <c r="QD1560" s="34"/>
      <c r="QE1560" s="34"/>
      <c r="QF1560" s="34"/>
      <c r="QG1560" s="34"/>
      <c r="QH1560" s="34"/>
      <c r="QI1560" s="34"/>
      <c r="QJ1560" s="34"/>
      <c r="QK1560" s="34"/>
      <c r="QL1560" s="34"/>
      <c r="QM1560" s="34"/>
      <c r="QN1560" s="34"/>
      <c r="QO1560" s="34"/>
      <c r="QP1560" s="34"/>
      <c r="QQ1560" s="34"/>
      <c r="QR1560" s="34"/>
      <c r="QS1560" s="34"/>
      <c r="QT1560" s="34"/>
      <c r="QU1560" s="34"/>
      <c r="QV1560" s="34"/>
      <c r="QW1560" s="34"/>
      <c r="QX1560" s="34"/>
      <c r="QY1560" s="34"/>
      <c r="QZ1560" s="34"/>
      <c r="RA1560" s="34"/>
      <c r="RB1560" s="34"/>
      <c r="RC1560" s="34"/>
      <c r="RD1560" s="34"/>
      <c r="RE1560" s="34"/>
      <c r="RF1560" s="34"/>
      <c r="RG1560" s="34"/>
      <c r="RH1560" s="34"/>
      <c r="RI1560" s="34"/>
      <c r="RJ1560" s="34"/>
      <c r="RK1560" s="34"/>
      <c r="RL1560" s="34"/>
      <c r="RM1560" s="34"/>
      <c r="RN1560" s="34"/>
      <c r="RO1560" s="34"/>
      <c r="RP1560" s="34"/>
      <c r="RQ1560" s="34"/>
      <c r="RR1560" s="34"/>
      <c r="RS1560" s="34"/>
      <c r="RT1560" s="34"/>
      <c r="RU1560" s="34"/>
      <c r="RV1560" s="34"/>
      <c r="RW1560" s="34"/>
      <c r="RX1560" s="34"/>
      <c r="RY1560" s="34"/>
      <c r="RZ1560" s="34"/>
      <c r="SA1560" s="34"/>
      <c r="SB1560" s="34"/>
      <c r="SC1560" s="34"/>
      <c r="SD1560" s="34"/>
      <c r="SE1560" s="34"/>
      <c r="SF1560" s="34"/>
      <c r="SG1560" s="34"/>
      <c r="SH1560" s="34"/>
      <c r="SI1560" s="34"/>
      <c r="SJ1560" s="34"/>
      <c r="SK1560" s="34"/>
      <c r="SL1560" s="34"/>
      <c r="SM1560" s="34"/>
      <c r="SN1560" s="34"/>
      <c r="SO1560" s="34"/>
      <c r="SP1560" s="34"/>
      <c r="SQ1560" s="34"/>
      <c r="SR1560" s="34"/>
      <c r="SS1560" s="34"/>
      <c r="ST1560" s="34"/>
      <c r="SU1560" s="34"/>
      <c r="SV1560" s="34"/>
      <c r="SW1560" s="34"/>
      <c r="SX1560" s="34"/>
      <c r="SY1560" s="34"/>
      <c r="SZ1560" s="34"/>
      <c r="TA1560" s="34"/>
      <c r="TB1560" s="34"/>
      <c r="TC1560" s="34"/>
      <c r="TD1560" s="34"/>
      <c r="TE1560" s="34"/>
      <c r="TF1560" s="34"/>
      <c r="TG1560" s="34"/>
      <c r="TH1560" s="34"/>
      <c r="TI1560" s="34"/>
      <c r="TJ1560" s="34"/>
      <c r="TK1560" s="34"/>
      <c r="TL1560" s="34"/>
      <c r="TM1560" s="34"/>
      <c r="TN1560" s="34"/>
      <c r="TO1560" s="34"/>
      <c r="TP1560" s="34"/>
      <c r="TQ1560" s="34"/>
      <c r="TR1560" s="34"/>
      <c r="TS1560" s="34"/>
      <c r="TT1560" s="34"/>
      <c r="TU1560" s="34"/>
      <c r="TV1560" s="34"/>
      <c r="TW1560" s="34"/>
      <c r="TX1560" s="34"/>
      <c r="TY1560" s="34"/>
      <c r="TZ1560" s="34"/>
      <c r="UA1560" s="34"/>
      <c r="UB1560" s="34"/>
      <c r="UC1560" s="34"/>
      <c r="UD1560" s="34"/>
      <c r="UE1560" s="34"/>
      <c r="UF1560" s="34"/>
      <c r="UG1560" s="34"/>
      <c r="UH1560" s="34"/>
      <c r="UI1560" s="34"/>
      <c r="UJ1560" s="34"/>
      <c r="UK1560" s="34"/>
      <c r="UL1560" s="34"/>
      <c r="UM1560" s="34"/>
      <c r="UN1560" s="34"/>
      <c r="UO1560" s="34"/>
      <c r="UP1560" s="34"/>
      <c r="UQ1560" s="34"/>
      <c r="UR1560" s="34"/>
      <c r="US1560" s="34"/>
      <c r="UT1560" s="34"/>
      <c r="UU1560" s="34"/>
      <c r="UV1560" s="34"/>
      <c r="UW1560" s="34"/>
      <c r="UX1560" s="34"/>
      <c r="UY1560" s="34"/>
      <c r="UZ1560" s="34"/>
      <c r="VA1560" s="34"/>
      <c r="VB1560" s="34"/>
      <c r="VC1560" s="34"/>
      <c r="VD1560" s="34"/>
      <c r="VE1560" s="34"/>
      <c r="VF1560" s="34"/>
      <c r="VG1560" s="34"/>
      <c r="VH1560" s="34"/>
      <c r="VI1560" s="34"/>
      <c r="VJ1560" s="34"/>
      <c r="VK1560" s="34"/>
      <c r="VL1560" s="34"/>
      <c r="VM1560" s="34"/>
      <c r="VN1560" s="34"/>
      <c r="VO1560" s="34"/>
      <c r="VP1560" s="34"/>
      <c r="VQ1560" s="34"/>
      <c r="VR1560" s="34"/>
      <c r="VS1560" s="34"/>
      <c r="VT1560" s="34"/>
      <c r="VU1560" s="34"/>
      <c r="VV1560" s="34"/>
      <c r="VW1560" s="34"/>
      <c r="VX1560" s="34"/>
      <c r="VY1560" s="34"/>
      <c r="VZ1560" s="34"/>
      <c r="WA1560" s="34"/>
      <c r="WB1560" s="34"/>
    </row>
    <row r="1625" spans="1:600" x14ac:dyDescent="0.35">
      <c r="A1625" s="34"/>
      <c r="B1625" s="34"/>
      <c r="C1625" s="34"/>
      <c r="D1625" s="34"/>
      <c r="E1625" s="34"/>
      <c r="F1625" s="34"/>
      <c r="G1625" s="34"/>
      <c r="H1625" s="34"/>
      <c r="I1625" s="34"/>
      <c r="J1625" s="34"/>
      <c r="K1625" s="34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34"/>
      <c r="DV1625" s="34"/>
      <c r="DW1625" s="34"/>
      <c r="DX1625" s="34"/>
      <c r="DY1625" s="34"/>
      <c r="DZ1625" s="34"/>
      <c r="EA1625" s="34"/>
      <c r="EB1625" s="34"/>
      <c r="EC1625" s="34"/>
      <c r="ED1625" s="34"/>
      <c r="EE1625" s="34"/>
      <c r="EF1625" s="34"/>
      <c r="EG1625" s="34"/>
      <c r="EH1625" s="34"/>
      <c r="EI1625" s="34"/>
      <c r="EJ1625" s="34"/>
      <c r="EK1625" s="34"/>
      <c r="EL1625" s="34"/>
      <c r="EM1625" s="34"/>
      <c r="EN1625" s="34"/>
      <c r="EO1625" s="34"/>
      <c r="EP1625" s="34"/>
      <c r="EQ1625" s="34"/>
      <c r="ER1625" s="34"/>
      <c r="ES1625" s="34"/>
      <c r="ET1625" s="34"/>
      <c r="EU1625" s="34"/>
      <c r="EV1625" s="34"/>
      <c r="EW1625" s="34"/>
      <c r="EX1625" s="34"/>
      <c r="EY1625" s="34"/>
      <c r="EZ1625" s="34"/>
      <c r="FA1625" s="34"/>
      <c r="FB1625" s="34"/>
      <c r="FC1625" s="34"/>
      <c r="FD1625" s="34"/>
      <c r="FE1625" s="34"/>
      <c r="FF1625" s="34"/>
      <c r="FG1625" s="34"/>
      <c r="FH1625" s="34"/>
      <c r="FI1625" s="34"/>
      <c r="FJ1625" s="34"/>
      <c r="FK1625" s="34"/>
      <c r="FL1625" s="34"/>
      <c r="FM1625" s="34"/>
      <c r="FN1625" s="34"/>
      <c r="FO1625" s="34"/>
      <c r="FP1625" s="34"/>
      <c r="FQ1625" s="34"/>
      <c r="FR1625" s="34"/>
      <c r="FS1625" s="34"/>
      <c r="FT1625" s="34"/>
      <c r="FU1625" s="34"/>
      <c r="FV1625" s="34"/>
      <c r="FW1625" s="34"/>
      <c r="FX1625" s="34"/>
      <c r="FY1625" s="34"/>
      <c r="FZ1625" s="34"/>
      <c r="GA1625" s="34"/>
      <c r="GB1625" s="34"/>
      <c r="GC1625" s="34"/>
      <c r="GD1625" s="34"/>
      <c r="GE1625" s="34"/>
      <c r="GF1625" s="34"/>
      <c r="GG1625" s="34"/>
      <c r="GH1625" s="34"/>
      <c r="GI1625" s="34"/>
      <c r="GJ1625" s="34"/>
      <c r="GK1625" s="34"/>
      <c r="GL1625" s="34"/>
      <c r="GM1625" s="34"/>
      <c r="GN1625" s="34"/>
      <c r="GO1625" s="34"/>
      <c r="GP1625" s="34"/>
      <c r="GQ1625" s="34"/>
      <c r="GR1625" s="34"/>
      <c r="GS1625" s="34"/>
      <c r="GT1625" s="34"/>
      <c r="GU1625" s="34"/>
      <c r="GV1625" s="34"/>
      <c r="GW1625" s="34"/>
      <c r="GX1625" s="34"/>
      <c r="GY1625" s="34"/>
      <c r="GZ1625" s="34"/>
      <c r="HA1625" s="34"/>
      <c r="HB1625" s="34"/>
      <c r="HC1625" s="34"/>
      <c r="HD1625" s="34"/>
      <c r="HE1625" s="34"/>
      <c r="HF1625" s="34"/>
      <c r="HG1625" s="34"/>
      <c r="HH1625" s="34"/>
      <c r="HI1625" s="34"/>
      <c r="HJ1625" s="34"/>
      <c r="HK1625" s="34"/>
      <c r="HL1625" s="34"/>
      <c r="HM1625" s="34"/>
      <c r="HN1625" s="34"/>
      <c r="HO1625" s="34"/>
      <c r="HP1625" s="34"/>
      <c r="HQ1625" s="34"/>
      <c r="HR1625" s="34"/>
      <c r="HS1625" s="34"/>
      <c r="HT1625" s="34"/>
      <c r="HU1625" s="34"/>
      <c r="HV1625" s="34"/>
      <c r="HW1625" s="34"/>
      <c r="HX1625" s="34"/>
      <c r="HY1625" s="34"/>
      <c r="HZ1625" s="34"/>
      <c r="IA1625" s="34"/>
      <c r="IB1625" s="34"/>
      <c r="IC1625" s="34"/>
      <c r="ID1625" s="34"/>
      <c r="IE1625" s="34"/>
      <c r="IF1625" s="34"/>
      <c r="IG1625" s="34"/>
      <c r="IH1625" s="34"/>
      <c r="II1625" s="34"/>
      <c r="IJ1625" s="34"/>
      <c r="IK1625" s="34"/>
      <c r="IL1625" s="34"/>
      <c r="IM1625" s="34"/>
      <c r="IN1625" s="34"/>
      <c r="IO1625" s="34"/>
      <c r="IP1625" s="34"/>
      <c r="IQ1625" s="34"/>
      <c r="IR1625" s="34"/>
      <c r="IS1625" s="34"/>
      <c r="IT1625" s="34"/>
      <c r="IU1625" s="34"/>
      <c r="IV1625" s="34"/>
      <c r="IW1625" s="34"/>
      <c r="IX1625" s="34"/>
      <c r="IY1625" s="34"/>
      <c r="IZ1625" s="34"/>
      <c r="JA1625" s="34"/>
      <c r="JB1625" s="34"/>
      <c r="JC1625" s="34"/>
      <c r="JD1625" s="34"/>
      <c r="JE1625" s="34"/>
      <c r="JF1625" s="34"/>
      <c r="JG1625" s="34"/>
      <c r="JH1625" s="34"/>
      <c r="JI1625" s="34"/>
      <c r="JJ1625" s="34"/>
      <c r="JK1625" s="34"/>
      <c r="JL1625" s="34"/>
      <c r="JM1625" s="34"/>
      <c r="JN1625" s="34"/>
      <c r="JO1625" s="34"/>
      <c r="JP1625" s="34"/>
      <c r="JQ1625" s="34"/>
      <c r="JR1625" s="34"/>
      <c r="JS1625" s="34"/>
      <c r="JT1625" s="34"/>
      <c r="JU1625" s="34"/>
      <c r="JV1625" s="34"/>
      <c r="JW1625" s="34"/>
      <c r="JX1625" s="34"/>
      <c r="JY1625" s="34"/>
      <c r="JZ1625" s="34"/>
      <c r="KA1625" s="34"/>
      <c r="KB1625" s="34"/>
      <c r="KC1625" s="34"/>
      <c r="KD1625" s="34"/>
      <c r="KE1625" s="34"/>
      <c r="KF1625" s="34"/>
      <c r="KG1625" s="34"/>
      <c r="KH1625" s="34"/>
      <c r="KI1625" s="34"/>
      <c r="KJ1625" s="34"/>
      <c r="KK1625" s="34"/>
      <c r="KL1625" s="34"/>
      <c r="KM1625" s="34"/>
      <c r="KN1625" s="34"/>
      <c r="KO1625" s="34"/>
      <c r="KP1625" s="34"/>
      <c r="KQ1625" s="34"/>
      <c r="KR1625" s="34"/>
      <c r="KS1625" s="34"/>
      <c r="KT1625" s="34"/>
      <c r="KU1625" s="34"/>
      <c r="KV1625" s="34"/>
      <c r="KW1625" s="34"/>
      <c r="KX1625" s="34"/>
      <c r="KY1625" s="34"/>
      <c r="KZ1625" s="34"/>
      <c r="LA1625" s="34"/>
      <c r="LB1625" s="34"/>
      <c r="LC1625" s="34"/>
      <c r="LD1625" s="34"/>
      <c r="LE1625" s="34"/>
      <c r="LF1625" s="34"/>
      <c r="LG1625" s="34"/>
      <c r="LH1625" s="34"/>
      <c r="LI1625" s="34"/>
      <c r="LJ1625" s="34"/>
      <c r="LK1625" s="34"/>
      <c r="LL1625" s="34"/>
      <c r="LM1625" s="34"/>
      <c r="LN1625" s="34"/>
      <c r="LO1625" s="34"/>
      <c r="LP1625" s="34"/>
      <c r="LQ1625" s="34"/>
      <c r="LR1625" s="34"/>
      <c r="LS1625" s="34"/>
      <c r="LT1625" s="34"/>
      <c r="LU1625" s="34"/>
      <c r="LV1625" s="34"/>
      <c r="LW1625" s="34"/>
      <c r="LX1625" s="34"/>
      <c r="LY1625" s="34"/>
      <c r="LZ1625" s="34"/>
      <c r="MA1625" s="34"/>
      <c r="MB1625" s="34"/>
      <c r="MC1625" s="34"/>
      <c r="MD1625" s="34"/>
      <c r="ME1625" s="34"/>
      <c r="MF1625" s="34"/>
      <c r="MG1625" s="34"/>
      <c r="MH1625" s="34"/>
      <c r="MI1625" s="34"/>
      <c r="MJ1625" s="34"/>
      <c r="MK1625" s="34"/>
      <c r="ML1625" s="34"/>
      <c r="MM1625" s="34"/>
      <c r="MN1625" s="34"/>
      <c r="MO1625" s="34"/>
      <c r="MP1625" s="34"/>
      <c r="MQ1625" s="34"/>
      <c r="MR1625" s="34"/>
      <c r="MS1625" s="34"/>
      <c r="MT1625" s="34"/>
      <c r="MU1625" s="34"/>
      <c r="MV1625" s="34"/>
      <c r="MW1625" s="34"/>
      <c r="MX1625" s="34"/>
      <c r="MY1625" s="34"/>
      <c r="MZ1625" s="34"/>
      <c r="NA1625" s="34"/>
      <c r="NB1625" s="34"/>
      <c r="NC1625" s="34"/>
      <c r="ND1625" s="34"/>
      <c r="NE1625" s="34"/>
      <c r="NF1625" s="34"/>
      <c r="NG1625" s="34"/>
      <c r="NH1625" s="34"/>
      <c r="NI1625" s="34"/>
      <c r="NJ1625" s="34"/>
      <c r="NK1625" s="34"/>
      <c r="NL1625" s="34"/>
      <c r="NM1625" s="34"/>
      <c r="NN1625" s="34"/>
      <c r="NO1625" s="34"/>
      <c r="NP1625" s="34"/>
      <c r="NQ1625" s="34"/>
      <c r="NR1625" s="34"/>
      <c r="NS1625" s="34"/>
      <c r="NT1625" s="34"/>
      <c r="NU1625" s="34"/>
      <c r="NV1625" s="34"/>
      <c r="NW1625" s="34"/>
      <c r="NX1625" s="34"/>
      <c r="NY1625" s="34"/>
      <c r="NZ1625" s="34"/>
      <c r="OA1625" s="34"/>
      <c r="OB1625" s="34"/>
      <c r="OC1625" s="34"/>
      <c r="OD1625" s="34"/>
      <c r="OE1625" s="34"/>
      <c r="OF1625" s="34"/>
      <c r="OG1625" s="34"/>
      <c r="OH1625" s="34"/>
      <c r="OI1625" s="34"/>
      <c r="OJ1625" s="34"/>
      <c r="OK1625" s="34"/>
      <c r="OL1625" s="34"/>
      <c r="OM1625" s="34"/>
      <c r="ON1625" s="34"/>
      <c r="OO1625" s="34"/>
      <c r="OP1625" s="34"/>
      <c r="OQ1625" s="34"/>
      <c r="OR1625" s="34"/>
      <c r="OS1625" s="34"/>
      <c r="OT1625" s="34"/>
      <c r="OU1625" s="34"/>
      <c r="OV1625" s="34"/>
      <c r="OW1625" s="34"/>
      <c r="OX1625" s="34"/>
      <c r="OY1625" s="34"/>
      <c r="OZ1625" s="34"/>
      <c r="PA1625" s="34"/>
      <c r="PB1625" s="34"/>
      <c r="PC1625" s="34"/>
      <c r="PD1625" s="34"/>
      <c r="PE1625" s="34"/>
      <c r="PF1625" s="34"/>
      <c r="PG1625" s="34"/>
      <c r="PH1625" s="34"/>
      <c r="PI1625" s="34"/>
      <c r="PJ1625" s="34"/>
      <c r="PK1625" s="34"/>
      <c r="PL1625" s="34"/>
      <c r="PM1625" s="34"/>
      <c r="PN1625" s="34"/>
      <c r="PO1625" s="34"/>
      <c r="PP1625" s="34"/>
      <c r="PQ1625" s="34"/>
      <c r="PR1625" s="34"/>
      <c r="PS1625" s="34"/>
      <c r="PT1625" s="34"/>
      <c r="PU1625" s="34"/>
      <c r="PV1625" s="34"/>
      <c r="PW1625" s="34"/>
      <c r="PX1625" s="34"/>
      <c r="PY1625" s="34"/>
      <c r="PZ1625" s="34"/>
      <c r="QA1625" s="34"/>
      <c r="QB1625" s="34"/>
      <c r="QC1625" s="34"/>
      <c r="QD1625" s="34"/>
      <c r="QE1625" s="34"/>
      <c r="QF1625" s="34"/>
      <c r="QG1625" s="34"/>
      <c r="QH1625" s="34"/>
      <c r="QI1625" s="34"/>
      <c r="QJ1625" s="34"/>
      <c r="QK1625" s="34"/>
      <c r="QL1625" s="34"/>
      <c r="QM1625" s="34"/>
      <c r="QN1625" s="34"/>
      <c r="QO1625" s="34"/>
      <c r="QP1625" s="34"/>
      <c r="QQ1625" s="34"/>
      <c r="QR1625" s="34"/>
      <c r="QS1625" s="34"/>
      <c r="QT1625" s="34"/>
      <c r="QU1625" s="34"/>
      <c r="QV1625" s="34"/>
      <c r="QW1625" s="34"/>
      <c r="QX1625" s="34"/>
      <c r="QY1625" s="34"/>
      <c r="QZ1625" s="34"/>
      <c r="RA1625" s="34"/>
      <c r="RB1625" s="34"/>
      <c r="RC1625" s="34"/>
      <c r="RD1625" s="34"/>
      <c r="RE1625" s="34"/>
      <c r="RF1625" s="34"/>
      <c r="RG1625" s="34"/>
      <c r="RH1625" s="34"/>
      <c r="RI1625" s="34"/>
      <c r="RJ1625" s="34"/>
      <c r="RK1625" s="34"/>
      <c r="RL1625" s="34"/>
      <c r="RM1625" s="34"/>
      <c r="RN1625" s="34"/>
      <c r="RO1625" s="34"/>
      <c r="RP1625" s="34"/>
      <c r="RQ1625" s="34"/>
      <c r="RR1625" s="34"/>
      <c r="RS1625" s="34"/>
      <c r="RT1625" s="34"/>
      <c r="RU1625" s="34"/>
      <c r="RV1625" s="34"/>
      <c r="RW1625" s="34"/>
      <c r="RX1625" s="34"/>
      <c r="RY1625" s="34"/>
      <c r="RZ1625" s="34"/>
      <c r="SA1625" s="34"/>
      <c r="SB1625" s="34"/>
      <c r="SC1625" s="34"/>
      <c r="SD1625" s="34"/>
      <c r="SE1625" s="34"/>
      <c r="SF1625" s="34"/>
      <c r="SG1625" s="34"/>
      <c r="SH1625" s="34"/>
      <c r="SI1625" s="34"/>
      <c r="SJ1625" s="34"/>
      <c r="SK1625" s="34"/>
      <c r="SL1625" s="34"/>
      <c r="SM1625" s="34"/>
      <c r="SN1625" s="34"/>
      <c r="SO1625" s="34"/>
      <c r="SP1625" s="34"/>
      <c r="SQ1625" s="34"/>
      <c r="SR1625" s="34"/>
      <c r="SS1625" s="34"/>
      <c r="ST1625" s="34"/>
      <c r="SU1625" s="34"/>
      <c r="SV1625" s="34"/>
      <c r="SW1625" s="34"/>
      <c r="SX1625" s="34"/>
      <c r="SY1625" s="34"/>
      <c r="SZ1625" s="34"/>
      <c r="TA1625" s="34"/>
      <c r="TB1625" s="34"/>
      <c r="TC1625" s="34"/>
      <c r="TD1625" s="34"/>
      <c r="TE1625" s="34"/>
      <c r="TF1625" s="34"/>
      <c r="TG1625" s="34"/>
      <c r="TH1625" s="34"/>
      <c r="TI1625" s="34"/>
      <c r="TJ1625" s="34"/>
      <c r="TK1625" s="34"/>
      <c r="TL1625" s="34"/>
      <c r="TM1625" s="34"/>
      <c r="TN1625" s="34"/>
      <c r="TO1625" s="34"/>
      <c r="TP1625" s="34"/>
      <c r="TQ1625" s="34"/>
      <c r="TR1625" s="34"/>
      <c r="TS1625" s="34"/>
      <c r="TT1625" s="34"/>
      <c r="TU1625" s="34"/>
      <c r="TV1625" s="34"/>
      <c r="TW1625" s="34"/>
      <c r="TX1625" s="34"/>
      <c r="TY1625" s="34"/>
      <c r="TZ1625" s="34"/>
      <c r="UA1625" s="34"/>
      <c r="UB1625" s="34"/>
      <c r="UC1625" s="34"/>
      <c r="UD1625" s="34"/>
      <c r="UE1625" s="34"/>
      <c r="UF1625" s="34"/>
      <c r="UG1625" s="34"/>
      <c r="UH1625" s="34"/>
      <c r="UI1625" s="34"/>
      <c r="UJ1625" s="34"/>
      <c r="UK1625" s="34"/>
      <c r="UL1625" s="34"/>
      <c r="UM1625" s="34"/>
      <c r="UN1625" s="34"/>
      <c r="UO1625" s="34"/>
      <c r="UP1625" s="34"/>
      <c r="UQ1625" s="34"/>
      <c r="UR1625" s="34"/>
      <c r="US1625" s="34"/>
      <c r="UT1625" s="34"/>
      <c r="UU1625" s="34"/>
      <c r="UV1625" s="34"/>
      <c r="UW1625" s="34"/>
      <c r="UX1625" s="34"/>
      <c r="UY1625" s="34"/>
      <c r="UZ1625" s="34"/>
      <c r="VA1625" s="34"/>
      <c r="VB1625" s="34"/>
      <c r="VC1625" s="34"/>
      <c r="VD1625" s="34"/>
      <c r="VE1625" s="34"/>
      <c r="VF1625" s="34"/>
      <c r="VG1625" s="34"/>
      <c r="VH1625" s="34"/>
      <c r="VI1625" s="34"/>
      <c r="VJ1625" s="34"/>
      <c r="VK1625" s="34"/>
      <c r="VL1625" s="34"/>
      <c r="VM1625" s="34"/>
      <c r="VN1625" s="34"/>
      <c r="VO1625" s="34"/>
      <c r="VP1625" s="34"/>
      <c r="VQ1625" s="34"/>
      <c r="VR1625" s="34"/>
      <c r="VS1625" s="34"/>
      <c r="VT1625" s="34"/>
      <c r="VU1625" s="34"/>
      <c r="VV1625" s="34"/>
      <c r="VW1625" s="34"/>
      <c r="VX1625" s="34"/>
      <c r="VY1625" s="34"/>
      <c r="VZ1625" s="34"/>
      <c r="WA1625" s="34"/>
      <c r="WB1625" s="34"/>
    </row>
    <row r="1690" spans="1:600" x14ac:dyDescent="0.35">
      <c r="A1690" s="34"/>
      <c r="B1690" s="34"/>
      <c r="C1690" s="34"/>
      <c r="D1690" s="34"/>
      <c r="E1690" s="34"/>
      <c r="F1690" s="34"/>
      <c r="G1690" s="34"/>
      <c r="H1690" s="34"/>
      <c r="I1690" s="34"/>
      <c r="J1690" s="34"/>
      <c r="K1690" s="34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34"/>
      <c r="DV1690" s="34"/>
      <c r="DW1690" s="34"/>
      <c r="DX1690" s="34"/>
      <c r="DY1690" s="34"/>
      <c r="DZ1690" s="34"/>
      <c r="EA1690" s="34"/>
      <c r="EB1690" s="34"/>
      <c r="EC1690" s="34"/>
      <c r="ED1690" s="34"/>
      <c r="EE1690" s="34"/>
      <c r="EF1690" s="34"/>
      <c r="EG1690" s="34"/>
      <c r="EH1690" s="34"/>
      <c r="EI1690" s="34"/>
      <c r="EJ1690" s="34"/>
      <c r="EK1690" s="34"/>
      <c r="EL1690" s="34"/>
      <c r="EM1690" s="34"/>
      <c r="EN1690" s="34"/>
      <c r="EO1690" s="34"/>
      <c r="EP1690" s="34"/>
      <c r="EQ1690" s="34"/>
      <c r="ER1690" s="34"/>
      <c r="ES1690" s="34"/>
      <c r="ET1690" s="34"/>
      <c r="EU1690" s="34"/>
      <c r="EV1690" s="34"/>
      <c r="EW1690" s="34"/>
      <c r="EX1690" s="34"/>
      <c r="EY1690" s="34"/>
      <c r="EZ1690" s="34"/>
      <c r="FA1690" s="34"/>
      <c r="FB1690" s="34"/>
      <c r="FC1690" s="34"/>
      <c r="FD1690" s="34"/>
      <c r="FE1690" s="34"/>
      <c r="FF1690" s="34"/>
      <c r="FG1690" s="34"/>
      <c r="FH1690" s="34"/>
      <c r="FI1690" s="34"/>
      <c r="FJ1690" s="34"/>
      <c r="FK1690" s="34"/>
      <c r="FL1690" s="34"/>
      <c r="FM1690" s="34"/>
      <c r="FN1690" s="34"/>
      <c r="FO1690" s="34"/>
      <c r="FP1690" s="34"/>
      <c r="FQ1690" s="34"/>
      <c r="FR1690" s="34"/>
      <c r="FS1690" s="34"/>
      <c r="FT1690" s="34"/>
      <c r="FU1690" s="34"/>
      <c r="FV1690" s="34"/>
      <c r="FW1690" s="34"/>
      <c r="FX1690" s="34"/>
      <c r="FY1690" s="34"/>
      <c r="FZ1690" s="34"/>
      <c r="GA1690" s="34"/>
      <c r="GB1690" s="34"/>
      <c r="GC1690" s="34"/>
      <c r="GD1690" s="34"/>
      <c r="GE1690" s="34"/>
      <c r="GF1690" s="34"/>
      <c r="GG1690" s="34"/>
      <c r="GH1690" s="34"/>
      <c r="GI1690" s="34"/>
      <c r="GJ1690" s="34"/>
      <c r="GK1690" s="34"/>
      <c r="GL1690" s="34"/>
      <c r="GM1690" s="34"/>
      <c r="GN1690" s="34"/>
      <c r="GO1690" s="34"/>
      <c r="GP1690" s="34"/>
      <c r="GQ1690" s="34"/>
      <c r="GR1690" s="34"/>
      <c r="GS1690" s="34"/>
      <c r="GT1690" s="34"/>
      <c r="GU1690" s="34"/>
      <c r="GV1690" s="34"/>
      <c r="GW1690" s="34"/>
      <c r="GX1690" s="34"/>
      <c r="GY1690" s="34"/>
      <c r="GZ1690" s="34"/>
      <c r="HA1690" s="34"/>
      <c r="HB1690" s="34"/>
      <c r="HC1690" s="34"/>
      <c r="HD1690" s="34"/>
      <c r="HE1690" s="34"/>
      <c r="HF1690" s="34"/>
      <c r="HG1690" s="34"/>
      <c r="HH1690" s="34"/>
      <c r="HI1690" s="34"/>
      <c r="HJ1690" s="34"/>
      <c r="HK1690" s="34"/>
      <c r="HL1690" s="34"/>
      <c r="HM1690" s="34"/>
      <c r="HN1690" s="34"/>
      <c r="HO1690" s="34"/>
      <c r="HP1690" s="34"/>
      <c r="HQ1690" s="34"/>
      <c r="HR1690" s="34"/>
      <c r="HS1690" s="34"/>
      <c r="HT1690" s="34"/>
      <c r="HU1690" s="34"/>
      <c r="HV1690" s="34"/>
      <c r="HW1690" s="34"/>
      <c r="HX1690" s="34"/>
      <c r="HY1690" s="34"/>
      <c r="HZ1690" s="34"/>
      <c r="IA1690" s="34"/>
      <c r="IB1690" s="34"/>
      <c r="IC1690" s="34"/>
      <c r="ID1690" s="34"/>
      <c r="IE1690" s="34"/>
      <c r="IF1690" s="34"/>
      <c r="IG1690" s="34"/>
      <c r="IH1690" s="34"/>
      <c r="II1690" s="34"/>
      <c r="IJ1690" s="34"/>
      <c r="IK1690" s="34"/>
      <c r="IL1690" s="34"/>
      <c r="IM1690" s="34"/>
      <c r="IN1690" s="34"/>
      <c r="IO1690" s="34"/>
      <c r="IP1690" s="34"/>
      <c r="IQ1690" s="34"/>
      <c r="IR1690" s="34"/>
      <c r="IS1690" s="34"/>
      <c r="IT1690" s="34"/>
      <c r="IU1690" s="34"/>
      <c r="IV1690" s="34"/>
      <c r="IW1690" s="34"/>
      <c r="IX1690" s="34"/>
      <c r="IY1690" s="34"/>
      <c r="IZ1690" s="34"/>
      <c r="JA1690" s="34"/>
      <c r="JB1690" s="34"/>
      <c r="JC1690" s="34"/>
      <c r="JD1690" s="34"/>
      <c r="JE1690" s="34"/>
      <c r="JF1690" s="34"/>
      <c r="JG1690" s="34"/>
      <c r="JH1690" s="34"/>
      <c r="JI1690" s="34"/>
      <c r="JJ1690" s="34"/>
      <c r="JK1690" s="34"/>
      <c r="JL1690" s="34"/>
      <c r="JM1690" s="34"/>
      <c r="JN1690" s="34"/>
      <c r="JO1690" s="34"/>
      <c r="JP1690" s="34"/>
      <c r="JQ1690" s="34"/>
      <c r="JR1690" s="34"/>
      <c r="JS1690" s="34"/>
      <c r="JT1690" s="34"/>
      <c r="JU1690" s="34"/>
      <c r="JV1690" s="34"/>
      <c r="JW1690" s="34"/>
      <c r="JX1690" s="34"/>
      <c r="JY1690" s="34"/>
      <c r="JZ1690" s="34"/>
      <c r="KA1690" s="34"/>
      <c r="KB1690" s="34"/>
      <c r="KC1690" s="34"/>
      <c r="KD1690" s="34"/>
      <c r="KE1690" s="34"/>
      <c r="KF1690" s="34"/>
      <c r="KG1690" s="34"/>
      <c r="KH1690" s="34"/>
      <c r="KI1690" s="34"/>
      <c r="KJ1690" s="34"/>
      <c r="KK1690" s="34"/>
      <c r="KL1690" s="34"/>
      <c r="KM1690" s="34"/>
      <c r="KN1690" s="34"/>
      <c r="KO1690" s="34"/>
      <c r="KP1690" s="34"/>
      <c r="KQ1690" s="34"/>
      <c r="KR1690" s="34"/>
      <c r="KS1690" s="34"/>
      <c r="KT1690" s="34"/>
      <c r="KU1690" s="34"/>
      <c r="KV1690" s="34"/>
      <c r="KW1690" s="34"/>
      <c r="KX1690" s="34"/>
      <c r="KY1690" s="34"/>
      <c r="KZ1690" s="34"/>
      <c r="LA1690" s="34"/>
      <c r="LB1690" s="34"/>
      <c r="LC1690" s="34"/>
      <c r="LD1690" s="34"/>
      <c r="LE1690" s="34"/>
      <c r="LF1690" s="34"/>
      <c r="LG1690" s="34"/>
      <c r="LH1690" s="34"/>
      <c r="LI1690" s="34"/>
      <c r="LJ1690" s="34"/>
      <c r="LK1690" s="34"/>
      <c r="LL1690" s="34"/>
      <c r="LM1690" s="34"/>
      <c r="LN1690" s="34"/>
      <c r="LO1690" s="34"/>
      <c r="LP1690" s="34"/>
      <c r="LQ1690" s="34"/>
      <c r="LR1690" s="34"/>
      <c r="LS1690" s="34"/>
      <c r="LT1690" s="34"/>
      <c r="LU1690" s="34"/>
      <c r="LV1690" s="34"/>
      <c r="LW1690" s="34"/>
      <c r="LX1690" s="34"/>
      <c r="LY1690" s="34"/>
      <c r="LZ1690" s="34"/>
      <c r="MA1690" s="34"/>
      <c r="MB1690" s="34"/>
      <c r="MC1690" s="34"/>
      <c r="MD1690" s="34"/>
      <c r="ME1690" s="34"/>
      <c r="MF1690" s="34"/>
      <c r="MG1690" s="34"/>
      <c r="MH1690" s="34"/>
      <c r="MI1690" s="34"/>
      <c r="MJ1690" s="34"/>
      <c r="MK1690" s="34"/>
      <c r="ML1690" s="34"/>
      <c r="MM1690" s="34"/>
      <c r="MN1690" s="34"/>
      <c r="MO1690" s="34"/>
      <c r="MP1690" s="34"/>
      <c r="MQ1690" s="34"/>
      <c r="MR1690" s="34"/>
      <c r="MS1690" s="34"/>
      <c r="MT1690" s="34"/>
      <c r="MU1690" s="34"/>
      <c r="MV1690" s="34"/>
      <c r="MW1690" s="34"/>
      <c r="MX1690" s="34"/>
      <c r="MY1690" s="34"/>
      <c r="MZ1690" s="34"/>
      <c r="NA1690" s="34"/>
      <c r="NB1690" s="34"/>
      <c r="NC1690" s="34"/>
      <c r="ND1690" s="34"/>
      <c r="NE1690" s="34"/>
      <c r="NF1690" s="34"/>
      <c r="NG1690" s="34"/>
      <c r="NH1690" s="34"/>
      <c r="NI1690" s="34"/>
      <c r="NJ1690" s="34"/>
      <c r="NK1690" s="34"/>
      <c r="NL1690" s="34"/>
      <c r="NM1690" s="34"/>
      <c r="NN1690" s="34"/>
      <c r="NO1690" s="34"/>
      <c r="NP1690" s="34"/>
      <c r="NQ1690" s="34"/>
      <c r="NR1690" s="34"/>
      <c r="NS1690" s="34"/>
      <c r="NT1690" s="34"/>
      <c r="NU1690" s="34"/>
      <c r="NV1690" s="34"/>
      <c r="NW1690" s="34"/>
      <c r="NX1690" s="34"/>
      <c r="NY1690" s="34"/>
      <c r="NZ1690" s="34"/>
      <c r="OA1690" s="34"/>
      <c r="OB1690" s="34"/>
      <c r="OC1690" s="34"/>
      <c r="OD1690" s="34"/>
      <c r="OE1690" s="34"/>
      <c r="OF1690" s="34"/>
      <c r="OG1690" s="34"/>
      <c r="OH1690" s="34"/>
      <c r="OI1690" s="34"/>
      <c r="OJ1690" s="34"/>
      <c r="OK1690" s="34"/>
      <c r="OL1690" s="34"/>
      <c r="OM1690" s="34"/>
      <c r="ON1690" s="34"/>
      <c r="OO1690" s="34"/>
      <c r="OP1690" s="34"/>
      <c r="OQ1690" s="34"/>
      <c r="OR1690" s="34"/>
      <c r="OS1690" s="34"/>
      <c r="OT1690" s="34"/>
      <c r="OU1690" s="34"/>
      <c r="OV1690" s="34"/>
      <c r="OW1690" s="34"/>
      <c r="OX1690" s="34"/>
      <c r="OY1690" s="34"/>
      <c r="OZ1690" s="34"/>
      <c r="PA1690" s="34"/>
      <c r="PB1690" s="34"/>
      <c r="PC1690" s="34"/>
      <c r="PD1690" s="34"/>
      <c r="PE1690" s="34"/>
      <c r="PF1690" s="34"/>
      <c r="PG1690" s="34"/>
      <c r="PH1690" s="34"/>
      <c r="PI1690" s="34"/>
      <c r="PJ1690" s="34"/>
      <c r="PK1690" s="34"/>
      <c r="PL1690" s="34"/>
      <c r="PM1690" s="34"/>
      <c r="PN1690" s="34"/>
      <c r="PO1690" s="34"/>
      <c r="PP1690" s="34"/>
      <c r="PQ1690" s="34"/>
      <c r="PR1690" s="34"/>
      <c r="PS1690" s="34"/>
      <c r="PT1690" s="34"/>
      <c r="PU1690" s="34"/>
      <c r="PV1690" s="34"/>
      <c r="PW1690" s="34"/>
      <c r="PX1690" s="34"/>
      <c r="PY1690" s="34"/>
      <c r="PZ1690" s="34"/>
      <c r="QA1690" s="34"/>
      <c r="QB1690" s="34"/>
      <c r="QC1690" s="34"/>
      <c r="QD1690" s="34"/>
      <c r="QE1690" s="34"/>
      <c r="QF1690" s="34"/>
      <c r="QG1690" s="34"/>
      <c r="QH1690" s="34"/>
      <c r="QI1690" s="34"/>
      <c r="QJ1690" s="34"/>
      <c r="QK1690" s="34"/>
      <c r="QL1690" s="34"/>
      <c r="QM1690" s="34"/>
      <c r="QN1690" s="34"/>
      <c r="QO1690" s="34"/>
      <c r="QP1690" s="34"/>
      <c r="QQ1690" s="34"/>
      <c r="QR1690" s="34"/>
      <c r="QS1690" s="34"/>
      <c r="QT1690" s="34"/>
      <c r="QU1690" s="34"/>
      <c r="QV1690" s="34"/>
      <c r="QW1690" s="34"/>
      <c r="QX1690" s="34"/>
      <c r="QY1690" s="34"/>
      <c r="QZ1690" s="34"/>
      <c r="RA1690" s="34"/>
      <c r="RB1690" s="34"/>
      <c r="RC1690" s="34"/>
      <c r="RD1690" s="34"/>
      <c r="RE1690" s="34"/>
      <c r="RF1690" s="34"/>
      <c r="RG1690" s="34"/>
      <c r="RH1690" s="34"/>
      <c r="RI1690" s="34"/>
      <c r="RJ1690" s="34"/>
      <c r="RK1690" s="34"/>
      <c r="RL1690" s="34"/>
      <c r="RM1690" s="34"/>
      <c r="RN1690" s="34"/>
      <c r="RO1690" s="34"/>
      <c r="RP1690" s="34"/>
      <c r="RQ1690" s="34"/>
      <c r="RR1690" s="34"/>
      <c r="RS1690" s="34"/>
      <c r="RT1690" s="34"/>
      <c r="RU1690" s="34"/>
      <c r="RV1690" s="34"/>
      <c r="RW1690" s="34"/>
      <c r="RX1690" s="34"/>
      <c r="RY1690" s="34"/>
      <c r="RZ1690" s="34"/>
      <c r="SA1690" s="34"/>
      <c r="SB1690" s="34"/>
      <c r="SC1690" s="34"/>
      <c r="SD1690" s="34"/>
      <c r="SE1690" s="34"/>
      <c r="SF1690" s="34"/>
      <c r="SG1690" s="34"/>
      <c r="SH1690" s="34"/>
      <c r="SI1690" s="34"/>
      <c r="SJ1690" s="34"/>
      <c r="SK1690" s="34"/>
      <c r="SL1690" s="34"/>
      <c r="SM1690" s="34"/>
      <c r="SN1690" s="34"/>
      <c r="SO1690" s="34"/>
      <c r="SP1690" s="34"/>
      <c r="SQ1690" s="34"/>
      <c r="SR1690" s="34"/>
      <c r="SS1690" s="34"/>
      <c r="ST1690" s="34"/>
      <c r="SU1690" s="34"/>
      <c r="SV1690" s="34"/>
      <c r="SW1690" s="34"/>
      <c r="SX1690" s="34"/>
      <c r="SY1690" s="34"/>
      <c r="SZ1690" s="34"/>
      <c r="TA1690" s="34"/>
      <c r="TB1690" s="34"/>
      <c r="TC1690" s="34"/>
      <c r="TD1690" s="34"/>
      <c r="TE1690" s="34"/>
      <c r="TF1690" s="34"/>
      <c r="TG1690" s="34"/>
      <c r="TH1690" s="34"/>
      <c r="TI1690" s="34"/>
      <c r="TJ1690" s="34"/>
      <c r="TK1690" s="34"/>
      <c r="TL1690" s="34"/>
      <c r="TM1690" s="34"/>
      <c r="TN1690" s="34"/>
      <c r="TO1690" s="34"/>
      <c r="TP1690" s="34"/>
      <c r="TQ1690" s="34"/>
      <c r="TR1690" s="34"/>
      <c r="TS1690" s="34"/>
      <c r="TT1690" s="34"/>
      <c r="TU1690" s="34"/>
      <c r="TV1690" s="34"/>
      <c r="TW1690" s="34"/>
      <c r="TX1690" s="34"/>
      <c r="TY1690" s="34"/>
      <c r="TZ1690" s="34"/>
      <c r="UA1690" s="34"/>
      <c r="UB1690" s="34"/>
      <c r="UC1690" s="34"/>
      <c r="UD1690" s="34"/>
      <c r="UE1690" s="34"/>
      <c r="UF1690" s="34"/>
      <c r="UG1690" s="34"/>
      <c r="UH1690" s="34"/>
      <c r="UI1690" s="34"/>
      <c r="UJ1690" s="34"/>
      <c r="UK1690" s="34"/>
      <c r="UL1690" s="34"/>
      <c r="UM1690" s="34"/>
      <c r="UN1690" s="34"/>
      <c r="UO1690" s="34"/>
      <c r="UP1690" s="34"/>
      <c r="UQ1690" s="34"/>
      <c r="UR1690" s="34"/>
      <c r="US1690" s="34"/>
      <c r="UT1690" s="34"/>
      <c r="UU1690" s="34"/>
      <c r="UV1690" s="34"/>
      <c r="UW1690" s="34"/>
      <c r="UX1690" s="34"/>
      <c r="UY1690" s="34"/>
      <c r="UZ1690" s="34"/>
      <c r="VA1690" s="34"/>
      <c r="VB1690" s="34"/>
      <c r="VC1690" s="34"/>
      <c r="VD1690" s="34"/>
      <c r="VE1690" s="34"/>
      <c r="VF1690" s="34"/>
      <c r="VG1690" s="34"/>
      <c r="VH1690" s="34"/>
      <c r="VI1690" s="34"/>
      <c r="VJ1690" s="34"/>
      <c r="VK1690" s="34"/>
      <c r="VL1690" s="34"/>
      <c r="VM1690" s="34"/>
      <c r="VN1690" s="34"/>
      <c r="VO1690" s="34"/>
      <c r="VP1690" s="34"/>
      <c r="VQ1690" s="34"/>
      <c r="VR1690" s="34"/>
      <c r="VS1690" s="34"/>
      <c r="VT1690" s="34"/>
      <c r="VU1690" s="34"/>
      <c r="VV1690" s="34"/>
      <c r="VW1690" s="34"/>
      <c r="VX1690" s="34"/>
      <c r="VY1690" s="34"/>
      <c r="VZ1690" s="34"/>
      <c r="WA1690" s="34"/>
      <c r="WB1690" s="34"/>
    </row>
    <row r="1755" spans="1:600" x14ac:dyDescent="0.35">
      <c r="A1755" s="34"/>
      <c r="B1755" s="34"/>
      <c r="C1755" s="34"/>
      <c r="D1755" s="34"/>
      <c r="E1755" s="34"/>
      <c r="F1755" s="34"/>
      <c r="G1755" s="34"/>
      <c r="H1755" s="34"/>
      <c r="I1755" s="34"/>
      <c r="J1755" s="34"/>
      <c r="K1755" s="34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34"/>
      <c r="DV1755" s="34"/>
      <c r="DW1755" s="34"/>
      <c r="DX1755" s="34"/>
      <c r="DY1755" s="34"/>
      <c r="DZ1755" s="34"/>
      <c r="EA1755" s="34"/>
      <c r="EB1755" s="34"/>
      <c r="EC1755" s="34"/>
      <c r="ED1755" s="34"/>
      <c r="EE1755" s="34"/>
      <c r="EF1755" s="34"/>
      <c r="EG1755" s="34"/>
      <c r="EH1755" s="34"/>
      <c r="EI1755" s="34"/>
      <c r="EJ1755" s="34"/>
      <c r="EK1755" s="34"/>
      <c r="EL1755" s="34"/>
      <c r="EM1755" s="34"/>
      <c r="EN1755" s="34"/>
      <c r="EO1755" s="34"/>
      <c r="EP1755" s="34"/>
      <c r="EQ1755" s="34"/>
      <c r="ER1755" s="34"/>
      <c r="ES1755" s="34"/>
      <c r="ET1755" s="34"/>
      <c r="EU1755" s="34"/>
      <c r="EV1755" s="34"/>
      <c r="EW1755" s="34"/>
      <c r="EX1755" s="34"/>
      <c r="EY1755" s="34"/>
      <c r="EZ1755" s="34"/>
      <c r="FA1755" s="34"/>
      <c r="FB1755" s="34"/>
      <c r="FC1755" s="34"/>
      <c r="FD1755" s="34"/>
      <c r="FE1755" s="34"/>
      <c r="FF1755" s="34"/>
      <c r="FG1755" s="34"/>
      <c r="FH1755" s="34"/>
      <c r="FI1755" s="34"/>
      <c r="FJ1755" s="34"/>
      <c r="FK1755" s="34"/>
      <c r="FL1755" s="34"/>
      <c r="FM1755" s="34"/>
      <c r="FN1755" s="34"/>
      <c r="FO1755" s="34"/>
      <c r="FP1755" s="34"/>
      <c r="FQ1755" s="34"/>
      <c r="FR1755" s="34"/>
      <c r="FS1755" s="34"/>
      <c r="FT1755" s="34"/>
      <c r="FU1755" s="34"/>
      <c r="FV1755" s="34"/>
      <c r="FW1755" s="34"/>
      <c r="FX1755" s="34"/>
      <c r="FY1755" s="34"/>
      <c r="FZ1755" s="34"/>
      <c r="GA1755" s="34"/>
      <c r="GB1755" s="34"/>
      <c r="GC1755" s="34"/>
      <c r="GD1755" s="34"/>
      <c r="GE1755" s="34"/>
      <c r="GF1755" s="34"/>
      <c r="GG1755" s="34"/>
      <c r="GH1755" s="34"/>
      <c r="GI1755" s="34"/>
      <c r="GJ1755" s="34"/>
      <c r="GK1755" s="34"/>
      <c r="GL1755" s="34"/>
      <c r="GM1755" s="34"/>
      <c r="GN1755" s="34"/>
      <c r="GO1755" s="34"/>
      <c r="GP1755" s="34"/>
      <c r="GQ1755" s="34"/>
      <c r="GR1755" s="34"/>
      <c r="GS1755" s="34"/>
      <c r="GT1755" s="34"/>
      <c r="GU1755" s="34"/>
      <c r="GV1755" s="34"/>
      <c r="GW1755" s="34"/>
      <c r="GX1755" s="34"/>
      <c r="GY1755" s="34"/>
      <c r="GZ1755" s="34"/>
      <c r="HA1755" s="34"/>
      <c r="HB1755" s="34"/>
      <c r="HC1755" s="34"/>
      <c r="HD1755" s="34"/>
      <c r="HE1755" s="34"/>
      <c r="HF1755" s="34"/>
      <c r="HG1755" s="34"/>
      <c r="HH1755" s="34"/>
      <c r="HI1755" s="34"/>
      <c r="HJ1755" s="34"/>
      <c r="HK1755" s="34"/>
      <c r="HL1755" s="34"/>
      <c r="HM1755" s="34"/>
      <c r="HN1755" s="34"/>
      <c r="HO1755" s="34"/>
      <c r="HP1755" s="34"/>
      <c r="HQ1755" s="34"/>
      <c r="HR1755" s="34"/>
      <c r="HS1755" s="34"/>
      <c r="HT1755" s="34"/>
      <c r="HU1755" s="34"/>
      <c r="HV1755" s="34"/>
      <c r="HW1755" s="34"/>
      <c r="HX1755" s="34"/>
      <c r="HY1755" s="34"/>
      <c r="HZ1755" s="34"/>
      <c r="IA1755" s="34"/>
      <c r="IB1755" s="34"/>
      <c r="IC1755" s="34"/>
      <c r="ID1755" s="34"/>
      <c r="IE1755" s="34"/>
      <c r="IF1755" s="34"/>
      <c r="IG1755" s="34"/>
      <c r="IH1755" s="34"/>
      <c r="II1755" s="34"/>
      <c r="IJ1755" s="34"/>
      <c r="IK1755" s="34"/>
      <c r="IL1755" s="34"/>
      <c r="IM1755" s="34"/>
      <c r="IN1755" s="34"/>
      <c r="IO1755" s="34"/>
      <c r="IP1755" s="34"/>
      <c r="IQ1755" s="34"/>
      <c r="IR1755" s="34"/>
      <c r="IS1755" s="34"/>
      <c r="IT1755" s="34"/>
      <c r="IU1755" s="34"/>
      <c r="IV1755" s="34"/>
      <c r="IW1755" s="34"/>
      <c r="IX1755" s="34"/>
      <c r="IY1755" s="34"/>
      <c r="IZ1755" s="34"/>
      <c r="JA1755" s="34"/>
      <c r="JB1755" s="34"/>
      <c r="JC1755" s="34"/>
      <c r="JD1755" s="34"/>
      <c r="JE1755" s="34"/>
      <c r="JF1755" s="34"/>
      <c r="JG1755" s="34"/>
      <c r="JH1755" s="34"/>
      <c r="JI1755" s="34"/>
      <c r="JJ1755" s="34"/>
      <c r="JK1755" s="34"/>
      <c r="JL1755" s="34"/>
      <c r="JM1755" s="34"/>
      <c r="JN1755" s="34"/>
      <c r="JO1755" s="34"/>
      <c r="JP1755" s="34"/>
      <c r="JQ1755" s="34"/>
      <c r="JR1755" s="34"/>
      <c r="JS1755" s="34"/>
      <c r="JT1755" s="34"/>
      <c r="JU1755" s="34"/>
      <c r="JV1755" s="34"/>
      <c r="JW1755" s="34"/>
      <c r="JX1755" s="34"/>
      <c r="JY1755" s="34"/>
      <c r="JZ1755" s="34"/>
      <c r="KA1755" s="34"/>
      <c r="KB1755" s="34"/>
      <c r="KC1755" s="34"/>
      <c r="KD1755" s="34"/>
      <c r="KE1755" s="34"/>
      <c r="KF1755" s="34"/>
      <c r="KG1755" s="34"/>
      <c r="KH1755" s="34"/>
      <c r="KI1755" s="34"/>
      <c r="KJ1755" s="34"/>
      <c r="KK1755" s="34"/>
      <c r="KL1755" s="34"/>
      <c r="KM1755" s="34"/>
      <c r="KN1755" s="34"/>
      <c r="KO1755" s="34"/>
      <c r="KP1755" s="34"/>
      <c r="KQ1755" s="34"/>
      <c r="KR1755" s="34"/>
      <c r="KS1755" s="34"/>
      <c r="KT1755" s="34"/>
      <c r="KU1755" s="34"/>
      <c r="KV1755" s="34"/>
      <c r="KW1755" s="34"/>
      <c r="KX1755" s="34"/>
      <c r="KY1755" s="34"/>
      <c r="KZ1755" s="34"/>
      <c r="LA1755" s="34"/>
      <c r="LB1755" s="34"/>
      <c r="LC1755" s="34"/>
      <c r="LD1755" s="34"/>
      <c r="LE1755" s="34"/>
      <c r="LF1755" s="34"/>
      <c r="LG1755" s="34"/>
      <c r="LH1755" s="34"/>
      <c r="LI1755" s="34"/>
      <c r="LJ1755" s="34"/>
      <c r="LK1755" s="34"/>
      <c r="LL1755" s="34"/>
      <c r="LM1755" s="34"/>
      <c r="LN1755" s="34"/>
      <c r="LO1755" s="34"/>
      <c r="LP1755" s="34"/>
      <c r="LQ1755" s="34"/>
      <c r="LR1755" s="34"/>
      <c r="LS1755" s="34"/>
      <c r="LT1755" s="34"/>
      <c r="LU1755" s="34"/>
      <c r="LV1755" s="34"/>
      <c r="LW1755" s="34"/>
      <c r="LX1755" s="34"/>
      <c r="LY1755" s="34"/>
      <c r="LZ1755" s="34"/>
      <c r="MA1755" s="34"/>
      <c r="MB1755" s="34"/>
      <c r="MC1755" s="34"/>
      <c r="MD1755" s="34"/>
      <c r="ME1755" s="34"/>
      <c r="MF1755" s="34"/>
      <c r="MG1755" s="34"/>
      <c r="MH1755" s="34"/>
      <c r="MI1755" s="34"/>
      <c r="MJ1755" s="34"/>
      <c r="MK1755" s="34"/>
      <c r="ML1755" s="34"/>
      <c r="MM1755" s="34"/>
      <c r="MN1755" s="34"/>
      <c r="MO1755" s="34"/>
      <c r="MP1755" s="34"/>
      <c r="MQ1755" s="34"/>
      <c r="MR1755" s="34"/>
      <c r="MS1755" s="34"/>
      <c r="MT1755" s="34"/>
      <c r="MU1755" s="34"/>
      <c r="MV1755" s="34"/>
      <c r="MW1755" s="34"/>
      <c r="MX1755" s="34"/>
      <c r="MY1755" s="34"/>
      <c r="MZ1755" s="34"/>
      <c r="NA1755" s="34"/>
      <c r="NB1755" s="34"/>
      <c r="NC1755" s="34"/>
      <c r="ND1755" s="34"/>
      <c r="NE1755" s="34"/>
      <c r="NF1755" s="34"/>
      <c r="NG1755" s="34"/>
      <c r="NH1755" s="34"/>
      <c r="NI1755" s="34"/>
      <c r="NJ1755" s="34"/>
      <c r="NK1755" s="34"/>
      <c r="NL1755" s="34"/>
      <c r="NM1755" s="34"/>
      <c r="NN1755" s="34"/>
      <c r="NO1755" s="34"/>
      <c r="NP1755" s="34"/>
      <c r="NQ1755" s="34"/>
      <c r="NR1755" s="34"/>
      <c r="NS1755" s="34"/>
      <c r="NT1755" s="34"/>
      <c r="NU1755" s="34"/>
      <c r="NV1755" s="34"/>
      <c r="NW1755" s="34"/>
      <c r="NX1755" s="34"/>
      <c r="NY1755" s="34"/>
      <c r="NZ1755" s="34"/>
      <c r="OA1755" s="34"/>
      <c r="OB1755" s="34"/>
      <c r="OC1755" s="34"/>
      <c r="OD1755" s="34"/>
      <c r="OE1755" s="34"/>
      <c r="OF1755" s="34"/>
      <c r="OG1755" s="34"/>
      <c r="OH1755" s="34"/>
      <c r="OI1755" s="34"/>
      <c r="OJ1755" s="34"/>
      <c r="OK1755" s="34"/>
      <c r="OL1755" s="34"/>
      <c r="OM1755" s="34"/>
      <c r="ON1755" s="34"/>
      <c r="OO1755" s="34"/>
      <c r="OP1755" s="34"/>
      <c r="OQ1755" s="34"/>
      <c r="OR1755" s="34"/>
      <c r="OS1755" s="34"/>
      <c r="OT1755" s="34"/>
      <c r="OU1755" s="34"/>
      <c r="OV1755" s="34"/>
      <c r="OW1755" s="34"/>
      <c r="OX1755" s="34"/>
      <c r="OY1755" s="34"/>
      <c r="OZ1755" s="34"/>
      <c r="PA1755" s="34"/>
      <c r="PB1755" s="34"/>
      <c r="PC1755" s="34"/>
      <c r="PD1755" s="34"/>
      <c r="PE1755" s="34"/>
      <c r="PF1755" s="34"/>
      <c r="PG1755" s="34"/>
      <c r="PH1755" s="34"/>
      <c r="PI1755" s="34"/>
      <c r="PJ1755" s="34"/>
      <c r="PK1755" s="34"/>
      <c r="PL1755" s="34"/>
      <c r="PM1755" s="34"/>
      <c r="PN1755" s="34"/>
      <c r="PO1755" s="34"/>
      <c r="PP1755" s="34"/>
      <c r="PQ1755" s="34"/>
      <c r="PR1755" s="34"/>
      <c r="PS1755" s="34"/>
      <c r="PT1755" s="34"/>
      <c r="PU1755" s="34"/>
      <c r="PV1755" s="34"/>
      <c r="PW1755" s="34"/>
      <c r="PX1755" s="34"/>
      <c r="PY1755" s="34"/>
      <c r="PZ1755" s="34"/>
      <c r="QA1755" s="34"/>
      <c r="QB1755" s="34"/>
      <c r="QC1755" s="34"/>
      <c r="QD1755" s="34"/>
      <c r="QE1755" s="34"/>
      <c r="QF1755" s="34"/>
      <c r="QG1755" s="34"/>
      <c r="QH1755" s="34"/>
      <c r="QI1755" s="34"/>
      <c r="QJ1755" s="34"/>
      <c r="QK1755" s="34"/>
      <c r="QL1755" s="34"/>
      <c r="QM1755" s="34"/>
      <c r="QN1755" s="34"/>
      <c r="QO1755" s="34"/>
      <c r="QP1755" s="34"/>
      <c r="QQ1755" s="34"/>
      <c r="QR1755" s="34"/>
      <c r="QS1755" s="34"/>
      <c r="QT1755" s="34"/>
      <c r="QU1755" s="34"/>
      <c r="QV1755" s="34"/>
      <c r="QW1755" s="34"/>
      <c r="QX1755" s="34"/>
      <c r="QY1755" s="34"/>
      <c r="QZ1755" s="34"/>
      <c r="RA1755" s="34"/>
      <c r="RB1755" s="34"/>
      <c r="RC1755" s="34"/>
      <c r="RD1755" s="34"/>
      <c r="RE1755" s="34"/>
      <c r="RF1755" s="34"/>
      <c r="RG1755" s="34"/>
      <c r="RH1755" s="34"/>
      <c r="RI1755" s="34"/>
      <c r="RJ1755" s="34"/>
      <c r="RK1755" s="34"/>
      <c r="RL1755" s="34"/>
      <c r="RM1755" s="34"/>
      <c r="RN1755" s="34"/>
      <c r="RO1755" s="34"/>
      <c r="RP1755" s="34"/>
      <c r="RQ1755" s="34"/>
      <c r="RR1755" s="34"/>
      <c r="RS1755" s="34"/>
      <c r="RT1755" s="34"/>
      <c r="RU1755" s="34"/>
      <c r="RV1755" s="34"/>
      <c r="RW1755" s="34"/>
      <c r="RX1755" s="34"/>
      <c r="RY1755" s="34"/>
      <c r="RZ1755" s="34"/>
      <c r="SA1755" s="34"/>
      <c r="SB1755" s="34"/>
      <c r="SC1755" s="34"/>
      <c r="SD1755" s="34"/>
      <c r="SE1755" s="34"/>
      <c r="SF1755" s="34"/>
      <c r="SG1755" s="34"/>
      <c r="SH1755" s="34"/>
      <c r="SI1755" s="34"/>
      <c r="SJ1755" s="34"/>
      <c r="SK1755" s="34"/>
      <c r="SL1755" s="34"/>
      <c r="SM1755" s="34"/>
      <c r="SN1755" s="34"/>
      <c r="SO1755" s="34"/>
      <c r="SP1755" s="34"/>
      <c r="SQ1755" s="34"/>
      <c r="SR1755" s="34"/>
      <c r="SS1755" s="34"/>
      <c r="ST1755" s="34"/>
      <c r="SU1755" s="34"/>
      <c r="SV1755" s="34"/>
      <c r="SW1755" s="34"/>
      <c r="SX1755" s="34"/>
      <c r="SY1755" s="34"/>
      <c r="SZ1755" s="34"/>
      <c r="TA1755" s="34"/>
      <c r="TB1755" s="34"/>
      <c r="TC1755" s="34"/>
      <c r="TD1755" s="34"/>
      <c r="TE1755" s="34"/>
      <c r="TF1755" s="34"/>
      <c r="TG1755" s="34"/>
      <c r="TH1755" s="34"/>
      <c r="TI1755" s="34"/>
      <c r="TJ1755" s="34"/>
      <c r="TK1755" s="34"/>
      <c r="TL1755" s="34"/>
      <c r="TM1755" s="34"/>
      <c r="TN1755" s="34"/>
      <c r="TO1755" s="34"/>
      <c r="TP1755" s="34"/>
      <c r="TQ1755" s="34"/>
      <c r="TR1755" s="34"/>
      <c r="TS1755" s="34"/>
      <c r="TT1755" s="34"/>
      <c r="TU1755" s="34"/>
      <c r="TV1755" s="34"/>
      <c r="TW1755" s="34"/>
      <c r="TX1755" s="34"/>
      <c r="TY1755" s="34"/>
      <c r="TZ1755" s="34"/>
      <c r="UA1755" s="34"/>
      <c r="UB1755" s="34"/>
      <c r="UC1755" s="34"/>
      <c r="UD1755" s="34"/>
      <c r="UE1755" s="34"/>
      <c r="UF1755" s="34"/>
      <c r="UG1755" s="34"/>
      <c r="UH1755" s="34"/>
      <c r="UI1755" s="34"/>
      <c r="UJ1755" s="34"/>
      <c r="UK1755" s="34"/>
      <c r="UL1755" s="34"/>
      <c r="UM1755" s="34"/>
      <c r="UN1755" s="34"/>
      <c r="UO1755" s="34"/>
      <c r="UP1755" s="34"/>
      <c r="UQ1755" s="34"/>
      <c r="UR1755" s="34"/>
      <c r="US1755" s="34"/>
      <c r="UT1755" s="34"/>
      <c r="UU1755" s="34"/>
      <c r="UV1755" s="34"/>
      <c r="UW1755" s="34"/>
      <c r="UX1755" s="34"/>
      <c r="UY1755" s="34"/>
      <c r="UZ1755" s="34"/>
      <c r="VA1755" s="34"/>
      <c r="VB1755" s="34"/>
      <c r="VC1755" s="34"/>
      <c r="VD1755" s="34"/>
      <c r="VE1755" s="34"/>
      <c r="VF1755" s="34"/>
      <c r="VG1755" s="34"/>
      <c r="VH1755" s="34"/>
      <c r="VI1755" s="34"/>
      <c r="VJ1755" s="34"/>
      <c r="VK1755" s="34"/>
      <c r="VL1755" s="34"/>
      <c r="VM1755" s="34"/>
      <c r="VN1755" s="34"/>
      <c r="VO1755" s="34"/>
      <c r="VP1755" s="34"/>
      <c r="VQ1755" s="34"/>
      <c r="VR1755" s="34"/>
      <c r="VS1755" s="34"/>
      <c r="VT1755" s="34"/>
      <c r="VU1755" s="34"/>
      <c r="VV1755" s="34"/>
      <c r="VW1755" s="34"/>
      <c r="VX1755" s="34"/>
      <c r="VY1755" s="34"/>
      <c r="VZ1755" s="34"/>
      <c r="WA1755" s="34"/>
      <c r="WB1755" s="34"/>
    </row>
    <row r="1820" spans="1:600" x14ac:dyDescent="0.35">
      <c r="A1820" s="34"/>
      <c r="B1820" s="34"/>
      <c r="C1820" s="34"/>
      <c r="D1820" s="34"/>
      <c r="E1820" s="34"/>
      <c r="F1820" s="34"/>
      <c r="G1820" s="34"/>
      <c r="H1820" s="34"/>
      <c r="I1820" s="34"/>
      <c r="J1820" s="34"/>
      <c r="K1820" s="34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34"/>
      <c r="DV1820" s="34"/>
      <c r="DW1820" s="34"/>
      <c r="DX1820" s="34"/>
      <c r="DY1820" s="34"/>
      <c r="DZ1820" s="34"/>
      <c r="EA1820" s="34"/>
      <c r="EB1820" s="34"/>
      <c r="EC1820" s="34"/>
      <c r="ED1820" s="34"/>
      <c r="EE1820" s="34"/>
      <c r="EF1820" s="34"/>
      <c r="EG1820" s="34"/>
      <c r="EH1820" s="34"/>
      <c r="EI1820" s="34"/>
      <c r="EJ1820" s="34"/>
      <c r="EK1820" s="34"/>
      <c r="EL1820" s="34"/>
      <c r="EM1820" s="34"/>
      <c r="EN1820" s="34"/>
      <c r="EO1820" s="34"/>
      <c r="EP1820" s="34"/>
      <c r="EQ1820" s="34"/>
      <c r="ER1820" s="34"/>
      <c r="ES1820" s="34"/>
      <c r="ET1820" s="34"/>
      <c r="EU1820" s="34"/>
      <c r="EV1820" s="34"/>
      <c r="EW1820" s="34"/>
      <c r="EX1820" s="34"/>
      <c r="EY1820" s="34"/>
      <c r="EZ1820" s="34"/>
      <c r="FA1820" s="34"/>
      <c r="FB1820" s="34"/>
      <c r="FC1820" s="34"/>
      <c r="FD1820" s="34"/>
      <c r="FE1820" s="34"/>
      <c r="FF1820" s="34"/>
      <c r="FG1820" s="34"/>
      <c r="FH1820" s="34"/>
      <c r="FI1820" s="34"/>
      <c r="FJ1820" s="34"/>
      <c r="FK1820" s="34"/>
      <c r="FL1820" s="34"/>
      <c r="FM1820" s="34"/>
      <c r="FN1820" s="34"/>
      <c r="FO1820" s="34"/>
      <c r="FP1820" s="34"/>
      <c r="FQ1820" s="34"/>
      <c r="FR1820" s="34"/>
      <c r="FS1820" s="34"/>
      <c r="FT1820" s="34"/>
      <c r="FU1820" s="34"/>
      <c r="FV1820" s="34"/>
      <c r="FW1820" s="34"/>
      <c r="FX1820" s="34"/>
      <c r="FY1820" s="34"/>
      <c r="FZ1820" s="34"/>
      <c r="GA1820" s="34"/>
      <c r="GB1820" s="34"/>
      <c r="GC1820" s="34"/>
      <c r="GD1820" s="34"/>
      <c r="GE1820" s="34"/>
      <c r="GF1820" s="34"/>
      <c r="GG1820" s="34"/>
      <c r="GH1820" s="34"/>
      <c r="GI1820" s="34"/>
      <c r="GJ1820" s="34"/>
      <c r="GK1820" s="34"/>
      <c r="GL1820" s="34"/>
      <c r="GM1820" s="34"/>
      <c r="GN1820" s="34"/>
      <c r="GO1820" s="34"/>
      <c r="GP1820" s="34"/>
      <c r="GQ1820" s="34"/>
      <c r="GR1820" s="34"/>
      <c r="GS1820" s="34"/>
      <c r="GT1820" s="34"/>
      <c r="GU1820" s="34"/>
      <c r="GV1820" s="34"/>
      <c r="GW1820" s="34"/>
      <c r="GX1820" s="34"/>
      <c r="GY1820" s="34"/>
      <c r="GZ1820" s="34"/>
      <c r="HA1820" s="34"/>
      <c r="HB1820" s="34"/>
      <c r="HC1820" s="34"/>
      <c r="HD1820" s="34"/>
      <c r="HE1820" s="34"/>
      <c r="HF1820" s="34"/>
      <c r="HG1820" s="34"/>
      <c r="HH1820" s="34"/>
      <c r="HI1820" s="34"/>
      <c r="HJ1820" s="34"/>
      <c r="HK1820" s="34"/>
      <c r="HL1820" s="34"/>
      <c r="HM1820" s="34"/>
      <c r="HN1820" s="34"/>
      <c r="HO1820" s="34"/>
      <c r="HP1820" s="34"/>
      <c r="HQ1820" s="34"/>
      <c r="HR1820" s="34"/>
      <c r="HS1820" s="34"/>
      <c r="HT1820" s="34"/>
      <c r="HU1820" s="34"/>
      <c r="HV1820" s="34"/>
      <c r="HW1820" s="34"/>
      <c r="HX1820" s="34"/>
      <c r="HY1820" s="34"/>
      <c r="HZ1820" s="34"/>
      <c r="IA1820" s="34"/>
      <c r="IB1820" s="34"/>
      <c r="IC1820" s="34"/>
      <c r="ID1820" s="34"/>
      <c r="IE1820" s="34"/>
      <c r="IF1820" s="34"/>
      <c r="IG1820" s="34"/>
      <c r="IH1820" s="34"/>
      <c r="II1820" s="34"/>
      <c r="IJ1820" s="34"/>
      <c r="IK1820" s="34"/>
      <c r="IL1820" s="34"/>
      <c r="IM1820" s="34"/>
      <c r="IN1820" s="34"/>
      <c r="IO1820" s="34"/>
      <c r="IP1820" s="34"/>
      <c r="IQ1820" s="34"/>
      <c r="IR1820" s="34"/>
      <c r="IS1820" s="34"/>
      <c r="IT1820" s="34"/>
      <c r="IU1820" s="34"/>
      <c r="IV1820" s="34"/>
      <c r="IW1820" s="34"/>
      <c r="IX1820" s="34"/>
      <c r="IY1820" s="34"/>
      <c r="IZ1820" s="34"/>
      <c r="JA1820" s="34"/>
      <c r="JB1820" s="34"/>
      <c r="JC1820" s="34"/>
      <c r="JD1820" s="34"/>
      <c r="JE1820" s="34"/>
      <c r="JF1820" s="34"/>
      <c r="JG1820" s="34"/>
      <c r="JH1820" s="34"/>
      <c r="JI1820" s="34"/>
      <c r="JJ1820" s="34"/>
      <c r="JK1820" s="34"/>
      <c r="JL1820" s="34"/>
      <c r="JM1820" s="34"/>
      <c r="JN1820" s="34"/>
      <c r="JO1820" s="34"/>
      <c r="JP1820" s="34"/>
      <c r="JQ1820" s="34"/>
      <c r="JR1820" s="34"/>
      <c r="JS1820" s="34"/>
      <c r="JT1820" s="34"/>
      <c r="JU1820" s="34"/>
      <c r="JV1820" s="34"/>
      <c r="JW1820" s="34"/>
      <c r="JX1820" s="34"/>
      <c r="JY1820" s="34"/>
      <c r="JZ1820" s="34"/>
      <c r="KA1820" s="34"/>
      <c r="KB1820" s="34"/>
      <c r="KC1820" s="34"/>
      <c r="KD1820" s="34"/>
      <c r="KE1820" s="34"/>
      <c r="KF1820" s="34"/>
      <c r="KG1820" s="34"/>
      <c r="KH1820" s="34"/>
      <c r="KI1820" s="34"/>
      <c r="KJ1820" s="34"/>
      <c r="KK1820" s="34"/>
      <c r="KL1820" s="34"/>
      <c r="KM1820" s="34"/>
      <c r="KN1820" s="34"/>
      <c r="KO1820" s="34"/>
      <c r="KP1820" s="34"/>
      <c r="KQ1820" s="34"/>
      <c r="KR1820" s="34"/>
      <c r="KS1820" s="34"/>
      <c r="KT1820" s="34"/>
      <c r="KU1820" s="34"/>
      <c r="KV1820" s="34"/>
      <c r="KW1820" s="34"/>
      <c r="KX1820" s="34"/>
      <c r="KY1820" s="34"/>
      <c r="KZ1820" s="34"/>
      <c r="LA1820" s="34"/>
      <c r="LB1820" s="34"/>
      <c r="LC1820" s="34"/>
      <c r="LD1820" s="34"/>
      <c r="LE1820" s="34"/>
      <c r="LF1820" s="34"/>
      <c r="LG1820" s="34"/>
      <c r="LH1820" s="34"/>
      <c r="LI1820" s="34"/>
      <c r="LJ1820" s="34"/>
      <c r="LK1820" s="34"/>
      <c r="LL1820" s="34"/>
      <c r="LM1820" s="34"/>
      <c r="LN1820" s="34"/>
      <c r="LO1820" s="34"/>
      <c r="LP1820" s="34"/>
      <c r="LQ1820" s="34"/>
      <c r="LR1820" s="34"/>
      <c r="LS1820" s="34"/>
      <c r="LT1820" s="34"/>
      <c r="LU1820" s="34"/>
      <c r="LV1820" s="34"/>
      <c r="LW1820" s="34"/>
      <c r="LX1820" s="34"/>
      <c r="LY1820" s="34"/>
      <c r="LZ1820" s="34"/>
      <c r="MA1820" s="34"/>
      <c r="MB1820" s="34"/>
      <c r="MC1820" s="34"/>
      <c r="MD1820" s="34"/>
      <c r="ME1820" s="34"/>
      <c r="MF1820" s="34"/>
      <c r="MG1820" s="34"/>
      <c r="MH1820" s="34"/>
      <c r="MI1820" s="34"/>
      <c r="MJ1820" s="34"/>
      <c r="MK1820" s="34"/>
      <c r="ML1820" s="34"/>
      <c r="MM1820" s="34"/>
      <c r="MN1820" s="34"/>
      <c r="MO1820" s="34"/>
      <c r="MP1820" s="34"/>
      <c r="MQ1820" s="34"/>
      <c r="MR1820" s="34"/>
      <c r="MS1820" s="34"/>
      <c r="MT1820" s="34"/>
      <c r="MU1820" s="34"/>
      <c r="MV1820" s="34"/>
      <c r="MW1820" s="34"/>
      <c r="MX1820" s="34"/>
      <c r="MY1820" s="34"/>
      <c r="MZ1820" s="34"/>
      <c r="NA1820" s="34"/>
      <c r="NB1820" s="34"/>
      <c r="NC1820" s="34"/>
      <c r="ND1820" s="34"/>
      <c r="NE1820" s="34"/>
      <c r="NF1820" s="34"/>
      <c r="NG1820" s="34"/>
      <c r="NH1820" s="34"/>
      <c r="NI1820" s="34"/>
      <c r="NJ1820" s="34"/>
      <c r="NK1820" s="34"/>
      <c r="NL1820" s="34"/>
      <c r="NM1820" s="34"/>
      <c r="NN1820" s="34"/>
      <c r="NO1820" s="34"/>
      <c r="NP1820" s="34"/>
      <c r="NQ1820" s="34"/>
      <c r="NR1820" s="34"/>
      <c r="NS1820" s="34"/>
      <c r="NT1820" s="34"/>
      <c r="NU1820" s="34"/>
      <c r="NV1820" s="34"/>
      <c r="NW1820" s="34"/>
      <c r="NX1820" s="34"/>
      <c r="NY1820" s="34"/>
      <c r="NZ1820" s="34"/>
      <c r="OA1820" s="34"/>
      <c r="OB1820" s="34"/>
      <c r="OC1820" s="34"/>
      <c r="OD1820" s="34"/>
      <c r="OE1820" s="34"/>
      <c r="OF1820" s="34"/>
      <c r="OG1820" s="34"/>
      <c r="OH1820" s="34"/>
      <c r="OI1820" s="34"/>
      <c r="OJ1820" s="34"/>
      <c r="OK1820" s="34"/>
      <c r="OL1820" s="34"/>
      <c r="OM1820" s="34"/>
      <c r="ON1820" s="34"/>
      <c r="OO1820" s="34"/>
      <c r="OP1820" s="34"/>
      <c r="OQ1820" s="34"/>
      <c r="OR1820" s="34"/>
      <c r="OS1820" s="34"/>
      <c r="OT1820" s="34"/>
      <c r="OU1820" s="34"/>
      <c r="OV1820" s="34"/>
      <c r="OW1820" s="34"/>
      <c r="OX1820" s="34"/>
      <c r="OY1820" s="34"/>
      <c r="OZ1820" s="34"/>
      <c r="PA1820" s="34"/>
      <c r="PB1820" s="34"/>
      <c r="PC1820" s="34"/>
      <c r="PD1820" s="34"/>
      <c r="PE1820" s="34"/>
      <c r="PF1820" s="34"/>
      <c r="PG1820" s="34"/>
      <c r="PH1820" s="34"/>
      <c r="PI1820" s="34"/>
      <c r="PJ1820" s="34"/>
      <c r="PK1820" s="34"/>
      <c r="PL1820" s="34"/>
      <c r="PM1820" s="34"/>
      <c r="PN1820" s="34"/>
      <c r="PO1820" s="34"/>
      <c r="PP1820" s="34"/>
      <c r="PQ1820" s="34"/>
      <c r="PR1820" s="34"/>
      <c r="PS1820" s="34"/>
      <c r="PT1820" s="34"/>
      <c r="PU1820" s="34"/>
      <c r="PV1820" s="34"/>
      <c r="PW1820" s="34"/>
      <c r="PX1820" s="34"/>
      <c r="PY1820" s="34"/>
      <c r="PZ1820" s="34"/>
      <c r="QA1820" s="34"/>
      <c r="QB1820" s="34"/>
      <c r="QC1820" s="34"/>
      <c r="QD1820" s="34"/>
      <c r="QE1820" s="34"/>
      <c r="QF1820" s="34"/>
      <c r="QG1820" s="34"/>
      <c r="QH1820" s="34"/>
      <c r="QI1820" s="34"/>
      <c r="QJ1820" s="34"/>
      <c r="QK1820" s="34"/>
      <c r="QL1820" s="34"/>
      <c r="QM1820" s="34"/>
      <c r="QN1820" s="34"/>
      <c r="QO1820" s="34"/>
      <c r="QP1820" s="34"/>
      <c r="QQ1820" s="34"/>
      <c r="QR1820" s="34"/>
      <c r="QS1820" s="34"/>
      <c r="QT1820" s="34"/>
      <c r="QU1820" s="34"/>
      <c r="QV1820" s="34"/>
      <c r="QW1820" s="34"/>
      <c r="QX1820" s="34"/>
      <c r="QY1820" s="34"/>
      <c r="QZ1820" s="34"/>
      <c r="RA1820" s="34"/>
      <c r="RB1820" s="34"/>
      <c r="RC1820" s="34"/>
      <c r="RD1820" s="34"/>
      <c r="RE1820" s="34"/>
      <c r="RF1820" s="34"/>
      <c r="RG1820" s="34"/>
      <c r="RH1820" s="34"/>
      <c r="RI1820" s="34"/>
      <c r="RJ1820" s="34"/>
      <c r="RK1820" s="34"/>
      <c r="RL1820" s="34"/>
      <c r="RM1820" s="34"/>
      <c r="RN1820" s="34"/>
      <c r="RO1820" s="34"/>
      <c r="RP1820" s="34"/>
      <c r="RQ1820" s="34"/>
      <c r="RR1820" s="34"/>
      <c r="RS1820" s="34"/>
      <c r="RT1820" s="34"/>
      <c r="RU1820" s="34"/>
      <c r="RV1820" s="34"/>
      <c r="RW1820" s="34"/>
      <c r="RX1820" s="34"/>
      <c r="RY1820" s="34"/>
      <c r="RZ1820" s="34"/>
      <c r="SA1820" s="34"/>
      <c r="SB1820" s="34"/>
      <c r="SC1820" s="34"/>
      <c r="SD1820" s="34"/>
      <c r="SE1820" s="34"/>
      <c r="SF1820" s="34"/>
      <c r="SG1820" s="34"/>
      <c r="SH1820" s="34"/>
      <c r="SI1820" s="34"/>
      <c r="SJ1820" s="34"/>
      <c r="SK1820" s="34"/>
      <c r="SL1820" s="34"/>
      <c r="SM1820" s="34"/>
      <c r="SN1820" s="34"/>
      <c r="SO1820" s="34"/>
      <c r="SP1820" s="34"/>
      <c r="SQ1820" s="34"/>
      <c r="SR1820" s="34"/>
      <c r="SS1820" s="34"/>
      <c r="ST1820" s="34"/>
      <c r="SU1820" s="34"/>
      <c r="SV1820" s="34"/>
      <c r="SW1820" s="34"/>
      <c r="SX1820" s="34"/>
      <c r="SY1820" s="34"/>
      <c r="SZ1820" s="34"/>
      <c r="TA1820" s="34"/>
      <c r="TB1820" s="34"/>
      <c r="TC1820" s="34"/>
      <c r="TD1820" s="34"/>
      <c r="TE1820" s="34"/>
      <c r="TF1820" s="34"/>
      <c r="TG1820" s="34"/>
      <c r="TH1820" s="34"/>
      <c r="TI1820" s="34"/>
      <c r="TJ1820" s="34"/>
      <c r="TK1820" s="34"/>
      <c r="TL1820" s="34"/>
      <c r="TM1820" s="34"/>
      <c r="TN1820" s="34"/>
      <c r="TO1820" s="34"/>
      <c r="TP1820" s="34"/>
      <c r="TQ1820" s="34"/>
      <c r="TR1820" s="34"/>
      <c r="TS1820" s="34"/>
      <c r="TT1820" s="34"/>
      <c r="TU1820" s="34"/>
      <c r="TV1820" s="34"/>
      <c r="TW1820" s="34"/>
      <c r="TX1820" s="34"/>
      <c r="TY1820" s="34"/>
      <c r="TZ1820" s="34"/>
      <c r="UA1820" s="34"/>
      <c r="UB1820" s="34"/>
      <c r="UC1820" s="34"/>
      <c r="UD1820" s="34"/>
      <c r="UE1820" s="34"/>
      <c r="UF1820" s="34"/>
      <c r="UG1820" s="34"/>
      <c r="UH1820" s="34"/>
      <c r="UI1820" s="34"/>
      <c r="UJ1820" s="34"/>
      <c r="UK1820" s="34"/>
      <c r="UL1820" s="34"/>
      <c r="UM1820" s="34"/>
      <c r="UN1820" s="34"/>
      <c r="UO1820" s="34"/>
      <c r="UP1820" s="34"/>
      <c r="UQ1820" s="34"/>
      <c r="UR1820" s="34"/>
      <c r="US1820" s="34"/>
      <c r="UT1820" s="34"/>
      <c r="UU1820" s="34"/>
      <c r="UV1820" s="34"/>
      <c r="UW1820" s="34"/>
      <c r="UX1820" s="34"/>
      <c r="UY1820" s="34"/>
      <c r="UZ1820" s="34"/>
      <c r="VA1820" s="34"/>
      <c r="VB1820" s="34"/>
      <c r="VC1820" s="34"/>
      <c r="VD1820" s="34"/>
      <c r="VE1820" s="34"/>
      <c r="VF1820" s="34"/>
      <c r="VG1820" s="34"/>
      <c r="VH1820" s="34"/>
      <c r="VI1820" s="34"/>
      <c r="VJ1820" s="34"/>
      <c r="VK1820" s="34"/>
      <c r="VL1820" s="34"/>
      <c r="VM1820" s="34"/>
      <c r="VN1820" s="34"/>
      <c r="VO1820" s="34"/>
      <c r="VP1820" s="34"/>
      <c r="VQ1820" s="34"/>
      <c r="VR1820" s="34"/>
      <c r="VS1820" s="34"/>
      <c r="VT1820" s="34"/>
      <c r="VU1820" s="34"/>
      <c r="VV1820" s="34"/>
      <c r="VW1820" s="34"/>
      <c r="VX1820" s="34"/>
      <c r="VY1820" s="34"/>
      <c r="VZ1820" s="34"/>
      <c r="WA1820" s="34"/>
      <c r="WB1820" s="34"/>
    </row>
    <row r="1885" spans="1:600" x14ac:dyDescent="0.35">
      <c r="A1885" s="34"/>
      <c r="B1885" s="34"/>
      <c r="C1885" s="34"/>
      <c r="D1885" s="34"/>
      <c r="E1885" s="34"/>
      <c r="F1885" s="34"/>
      <c r="G1885" s="34"/>
      <c r="H1885" s="34"/>
      <c r="I1885" s="34"/>
      <c r="J1885" s="34"/>
      <c r="K1885" s="34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34"/>
      <c r="DV1885" s="34"/>
      <c r="DW1885" s="34"/>
      <c r="DX1885" s="34"/>
      <c r="DY1885" s="34"/>
      <c r="DZ1885" s="34"/>
      <c r="EA1885" s="34"/>
      <c r="EB1885" s="34"/>
      <c r="EC1885" s="34"/>
      <c r="ED1885" s="34"/>
      <c r="EE1885" s="34"/>
      <c r="EF1885" s="34"/>
      <c r="EG1885" s="34"/>
      <c r="EH1885" s="34"/>
      <c r="EI1885" s="34"/>
      <c r="EJ1885" s="34"/>
      <c r="EK1885" s="34"/>
      <c r="EL1885" s="34"/>
      <c r="EM1885" s="34"/>
      <c r="EN1885" s="34"/>
      <c r="EO1885" s="34"/>
      <c r="EP1885" s="34"/>
      <c r="EQ1885" s="34"/>
      <c r="ER1885" s="34"/>
      <c r="ES1885" s="34"/>
      <c r="ET1885" s="34"/>
      <c r="EU1885" s="34"/>
      <c r="EV1885" s="34"/>
      <c r="EW1885" s="34"/>
      <c r="EX1885" s="34"/>
      <c r="EY1885" s="34"/>
      <c r="EZ1885" s="34"/>
      <c r="FA1885" s="34"/>
      <c r="FB1885" s="34"/>
      <c r="FC1885" s="34"/>
      <c r="FD1885" s="34"/>
      <c r="FE1885" s="34"/>
      <c r="FF1885" s="34"/>
      <c r="FG1885" s="34"/>
      <c r="FH1885" s="34"/>
      <c r="FI1885" s="34"/>
      <c r="FJ1885" s="34"/>
      <c r="FK1885" s="34"/>
      <c r="FL1885" s="34"/>
      <c r="FM1885" s="34"/>
      <c r="FN1885" s="34"/>
      <c r="FO1885" s="34"/>
      <c r="FP1885" s="34"/>
      <c r="FQ1885" s="34"/>
      <c r="FR1885" s="34"/>
      <c r="FS1885" s="34"/>
      <c r="FT1885" s="34"/>
      <c r="FU1885" s="34"/>
      <c r="FV1885" s="34"/>
      <c r="FW1885" s="34"/>
      <c r="FX1885" s="34"/>
      <c r="FY1885" s="34"/>
      <c r="FZ1885" s="34"/>
      <c r="GA1885" s="34"/>
      <c r="GB1885" s="34"/>
      <c r="GC1885" s="34"/>
      <c r="GD1885" s="34"/>
      <c r="GE1885" s="34"/>
      <c r="GF1885" s="34"/>
      <c r="GG1885" s="34"/>
      <c r="GH1885" s="34"/>
      <c r="GI1885" s="34"/>
      <c r="GJ1885" s="34"/>
      <c r="GK1885" s="34"/>
      <c r="GL1885" s="34"/>
      <c r="GM1885" s="34"/>
      <c r="GN1885" s="34"/>
      <c r="GO1885" s="34"/>
      <c r="GP1885" s="34"/>
      <c r="GQ1885" s="34"/>
      <c r="GR1885" s="34"/>
      <c r="GS1885" s="34"/>
      <c r="GT1885" s="34"/>
      <c r="GU1885" s="34"/>
      <c r="GV1885" s="34"/>
      <c r="GW1885" s="34"/>
      <c r="GX1885" s="34"/>
      <c r="GY1885" s="34"/>
      <c r="GZ1885" s="34"/>
      <c r="HA1885" s="34"/>
      <c r="HB1885" s="34"/>
      <c r="HC1885" s="34"/>
      <c r="HD1885" s="34"/>
      <c r="HE1885" s="34"/>
      <c r="HF1885" s="34"/>
      <c r="HG1885" s="34"/>
      <c r="HH1885" s="34"/>
      <c r="HI1885" s="34"/>
      <c r="HJ1885" s="34"/>
      <c r="HK1885" s="34"/>
      <c r="HL1885" s="34"/>
      <c r="HM1885" s="34"/>
      <c r="HN1885" s="34"/>
      <c r="HO1885" s="34"/>
      <c r="HP1885" s="34"/>
      <c r="HQ1885" s="34"/>
      <c r="HR1885" s="34"/>
      <c r="HS1885" s="34"/>
      <c r="HT1885" s="34"/>
      <c r="HU1885" s="34"/>
      <c r="HV1885" s="34"/>
      <c r="HW1885" s="34"/>
      <c r="HX1885" s="34"/>
      <c r="HY1885" s="34"/>
      <c r="HZ1885" s="34"/>
      <c r="IA1885" s="34"/>
      <c r="IB1885" s="34"/>
      <c r="IC1885" s="34"/>
      <c r="ID1885" s="34"/>
      <c r="IE1885" s="34"/>
      <c r="IF1885" s="34"/>
      <c r="IG1885" s="34"/>
      <c r="IH1885" s="34"/>
      <c r="II1885" s="34"/>
      <c r="IJ1885" s="34"/>
      <c r="IK1885" s="34"/>
      <c r="IL1885" s="34"/>
      <c r="IM1885" s="34"/>
      <c r="IN1885" s="34"/>
      <c r="IO1885" s="34"/>
      <c r="IP1885" s="34"/>
      <c r="IQ1885" s="34"/>
      <c r="IR1885" s="34"/>
      <c r="IS1885" s="34"/>
      <c r="IT1885" s="34"/>
      <c r="IU1885" s="34"/>
      <c r="IV1885" s="34"/>
      <c r="IW1885" s="34"/>
      <c r="IX1885" s="34"/>
      <c r="IY1885" s="34"/>
      <c r="IZ1885" s="34"/>
      <c r="JA1885" s="34"/>
      <c r="JB1885" s="34"/>
      <c r="JC1885" s="34"/>
      <c r="JD1885" s="34"/>
      <c r="JE1885" s="34"/>
      <c r="JF1885" s="34"/>
      <c r="JG1885" s="34"/>
      <c r="JH1885" s="34"/>
      <c r="JI1885" s="34"/>
      <c r="JJ1885" s="34"/>
      <c r="JK1885" s="34"/>
      <c r="JL1885" s="34"/>
      <c r="JM1885" s="34"/>
      <c r="JN1885" s="34"/>
      <c r="JO1885" s="34"/>
      <c r="JP1885" s="34"/>
      <c r="JQ1885" s="34"/>
      <c r="JR1885" s="34"/>
      <c r="JS1885" s="34"/>
      <c r="JT1885" s="34"/>
      <c r="JU1885" s="34"/>
      <c r="JV1885" s="34"/>
      <c r="JW1885" s="34"/>
      <c r="JX1885" s="34"/>
      <c r="JY1885" s="34"/>
      <c r="JZ1885" s="34"/>
      <c r="KA1885" s="34"/>
      <c r="KB1885" s="34"/>
      <c r="KC1885" s="34"/>
      <c r="KD1885" s="34"/>
      <c r="KE1885" s="34"/>
      <c r="KF1885" s="34"/>
      <c r="KG1885" s="34"/>
      <c r="KH1885" s="34"/>
      <c r="KI1885" s="34"/>
      <c r="KJ1885" s="34"/>
      <c r="KK1885" s="34"/>
      <c r="KL1885" s="34"/>
      <c r="KM1885" s="34"/>
      <c r="KN1885" s="34"/>
      <c r="KO1885" s="34"/>
      <c r="KP1885" s="34"/>
      <c r="KQ1885" s="34"/>
      <c r="KR1885" s="34"/>
      <c r="KS1885" s="34"/>
      <c r="KT1885" s="34"/>
      <c r="KU1885" s="34"/>
      <c r="KV1885" s="34"/>
      <c r="KW1885" s="34"/>
      <c r="KX1885" s="34"/>
      <c r="KY1885" s="34"/>
      <c r="KZ1885" s="34"/>
      <c r="LA1885" s="34"/>
      <c r="LB1885" s="34"/>
      <c r="LC1885" s="34"/>
      <c r="LD1885" s="34"/>
      <c r="LE1885" s="34"/>
      <c r="LF1885" s="34"/>
      <c r="LG1885" s="34"/>
      <c r="LH1885" s="34"/>
      <c r="LI1885" s="34"/>
      <c r="LJ1885" s="34"/>
      <c r="LK1885" s="34"/>
      <c r="LL1885" s="34"/>
      <c r="LM1885" s="34"/>
      <c r="LN1885" s="34"/>
      <c r="LO1885" s="34"/>
      <c r="LP1885" s="34"/>
      <c r="LQ1885" s="34"/>
      <c r="LR1885" s="34"/>
      <c r="LS1885" s="34"/>
      <c r="LT1885" s="34"/>
      <c r="LU1885" s="34"/>
      <c r="LV1885" s="34"/>
      <c r="LW1885" s="34"/>
      <c r="LX1885" s="34"/>
      <c r="LY1885" s="34"/>
      <c r="LZ1885" s="34"/>
      <c r="MA1885" s="34"/>
      <c r="MB1885" s="34"/>
      <c r="MC1885" s="34"/>
      <c r="MD1885" s="34"/>
      <c r="ME1885" s="34"/>
      <c r="MF1885" s="34"/>
      <c r="MG1885" s="34"/>
      <c r="MH1885" s="34"/>
      <c r="MI1885" s="34"/>
      <c r="MJ1885" s="34"/>
      <c r="MK1885" s="34"/>
      <c r="ML1885" s="34"/>
      <c r="MM1885" s="34"/>
      <c r="MN1885" s="34"/>
      <c r="MO1885" s="34"/>
      <c r="MP1885" s="34"/>
      <c r="MQ1885" s="34"/>
      <c r="MR1885" s="34"/>
      <c r="MS1885" s="34"/>
      <c r="MT1885" s="34"/>
      <c r="MU1885" s="34"/>
      <c r="MV1885" s="34"/>
      <c r="MW1885" s="34"/>
      <c r="MX1885" s="34"/>
      <c r="MY1885" s="34"/>
      <c r="MZ1885" s="34"/>
      <c r="NA1885" s="34"/>
      <c r="NB1885" s="34"/>
      <c r="NC1885" s="34"/>
      <c r="ND1885" s="34"/>
      <c r="NE1885" s="34"/>
      <c r="NF1885" s="34"/>
      <c r="NG1885" s="34"/>
      <c r="NH1885" s="34"/>
      <c r="NI1885" s="34"/>
      <c r="NJ1885" s="34"/>
      <c r="NK1885" s="34"/>
      <c r="NL1885" s="34"/>
      <c r="NM1885" s="34"/>
      <c r="NN1885" s="34"/>
      <c r="NO1885" s="34"/>
      <c r="NP1885" s="34"/>
      <c r="NQ1885" s="34"/>
      <c r="NR1885" s="34"/>
      <c r="NS1885" s="34"/>
      <c r="NT1885" s="34"/>
      <c r="NU1885" s="34"/>
      <c r="NV1885" s="34"/>
      <c r="NW1885" s="34"/>
      <c r="NX1885" s="34"/>
      <c r="NY1885" s="34"/>
      <c r="NZ1885" s="34"/>
      <c r="OA1885" s="34"/>
      <c r="OB1885" s="34"/>
      <c r="OC1885" s="34"/>
      <c r="OD1885" s="34"/>
      <c r="OE1885" s="34"/>
      <c r="OF1885" s="34"/>
      <c r="OG1885" s="34"/>
      <c r="OH1885" s="34"/>
      <c r="OI1885" s="34"/>
      <c r="OJ1885" s="34"/>
      <c r="OK1885" s="34"/>
      <c r="OL1885" s="34"/>
      <c r="OM1885" s="34"/>
      <c r="ON1885" s="34"/>
      <c r="OO1885" s="34"/>
      <c r="OP1885" s="34"/>
      <c r="OQ1885" s="34"/>
      <c r="OR1885" s="34"/>
      <c r="OS1885" s="34"/>
      <c r="OT1885" s="34"/>
      <c r="OU1885" s="34"/>
      <c r="OV1885" s="34"/>
      <c r="OW1885" s="34"/>
      <c r="OX1885" s="34"/>
      <c r="OY1885" s="34"/>
      <c r="OZ1885" s="34"/>
      <c r="PA1885" s="34"/>
      <c r="PB1885" s="34"/>
      <c r="PC1885" s="34"/>
      <c r="PD1885" s="34"/>
      <c r="PE1885" s="34"/>
      <c r="PF1885" s="34"/>
      <c r="PG1885" s="34"/>
      <c r="PH1885" s="34"/>
      <c r="PI1885" s="34"/>
      <c r="PJ1885" s="34"/>
      <c r="PK1885" s="34"/>
      <c r="PL1885" s="34"/>
      <c r="PM1885" s="34"/>
      <c r="PN1885" s="34"/>
      <c r="PO1885" s="34"/>
      <c r="PP1885" s="34"/>
      <c r="PQ1885" s="34"/>
      <c r="PR1885" s="34"/>
      <c r="PS1885" s="34"/>
      <c r="PT1885" s="34"/>
      <c r="PU1885" s="34"/>
      <c r="PV1885" s="34"/>
      <c r="PW1885" s="34"/>
      <c r="PX1885" s="34"/>
      <c r="PY1885" s="34"/>
      <c r="PZ1885" s="34"/>
      <c r="QA1885" s="34"/>
      <c r="QB1885" s="34"/>
      <c r="QC1885" s="34"/>
      <c r="QD1885" s="34"/>
      <c r="QE1885" s="34"/>
      <c r="QF1885" s="34"/>
      <c r="QG1885" s="34"/>
      <c r="QH1885" s="34"/>
      <c r="QI1885" s="34"/>
      <c r="QJ1885" s="34"/>
      <c r="QK1885" s="34"/>
      <c r="QL1885" s="34"/>
      <c r="QM1885" s="34"/>
      <c r="QN1885" s="34"/>
      <c r="QO1885" s="34"/>
      <c r="QP1885" s="34"/>
      <c r="QQ1885" s="34"/>
      <c r="QR1885" s="34"/>
      <c r="QS1885" s="34"/>
      <c r="QT1885" s="34"/>
      <c r="QU1885" s="34"/>
      <c r="QV1885" s="34"/>
      <c r="QW1885" s="34"/>
      <c r="QX1885" s="34"/>
      <c r="QY1885" s="34"/>
      <c r="QZ1885" s="34"/>
      <c r="RA1885" s="34"/>
      <c r="RB1885" s="34"/>
      <c r="RC1885" s="34"/>
      <c r="RD1885" s="34"/>
      <c r="RE1885" s="34"/>
      <c r="RF1885" s="34"/>
      <c r="RG1885" s="34"/>
      <c r="RH1885" s="34"/>
      <c r="RI1885" s="34"/>
      <c r="RJ1885" s="34"/>
      <c r="RK1885" s="34"/>
      <c r="RL1885" s="34"/>
      <c r="RM1885" s="34"/>
      <c r="RN1885" s="34"/>
      <c r="RO1885" s="34"/>
      <c r="RP1885" s="34"/>
      <c r="RQ1885" s="34"/>
      <c r="RR1885" s="34"/>
      <c r="RS1885" s="34"/>
      <c r="RT1885" s="34"/>
      <c r="RU1885" s="34"/>
      <c r="RV1885" s="34"/>
      <c r="RW1885" s="34"/>
      <c r="RX1885" s="34"/>
      <c r="RY1885" s="34"/>
      <c r="RZ1885" s="34"/>
      <c r="SA1885" s="34"/>
      <c r="SB1885" s="34"/>
      <c r="SC1885" s="34"/>
      <c r="SD1885" s="34"/>
      <c r="SE1885" s="34"/>
      <c r="SF1885" s="34"/>
      <c r="SG1885" s="34"/>
      <c r="SH1885" s="34"/>
      <c r="SI1885" s="34"/>
      <c r="SJ1885" s="34"/>
      <c r="SK1885" s="34"/>
      <c r="SL1885" s="34"/>
      <c r="SM1885" s="34"/>
      <c r="SN1885" s="34"/>
      <c r="SO1885" s="34"/>
      <c r="SP1885" s="34"/>
      <c r="SQ1885" s="34"/>
      <c r="SR1885" s="34"/>
      <c r="SS1885" s="34"/>
      <c r="ST1885" s="34"/>
      <c r="SU1885" s="34"/>
      <c r="SV1885" s="34"/>
      <c r="SW1885" s="34"/>
      <c r="SX1885" s="34"/>
      <c r="SY1885" s="34"/>
      <c r="SZ1885" s="34"/>
      <c r="TA1885" s="34"/>
      <c r="TB1885" s="34"/>
      <c r="TC1885" s="34"/>
      <c r="TD1885" s="34"/>
      <c r="TE1885" s="34"/>
      <c r="TF1885" s="34"/>
      <c r="TG1885" s="34"/>
      <c r="TH1885" s="34"/>
      <c r="TI1885" s="34"/>
      <c r="TJ1885" s="34"/>
      <c r="TK1885" s="34"/>
      <c r="TL1885" s="34"/>
      <c r="TM1885" s="34"/>
      <c r="TN1885" s="34"/>
      <c r="TO1885" s="34"/>
      <c r="TP1885" s="34"/>
      <c r="TQ1885" s="34"/>
      <c r="TR1885" s="34"/>
      <c r="TS1885" s="34"/>
      <c r="TT1885" s="34"/>
      <c r="TU1885" s="34"/>
      <c r="TV1885" s="34"/>
      <c r="TW1885" s="34"/>
      <c r="TX1885" s="34"/>
      <c r="TY1885" s="34"/>
      <c r="TZ1885" s="34"/>
      <c r="UA1885" s="34"/>
      <c r="UB1885" s="34"/>
      <c r="UC1885" s="34"/>
      <c r="UD1885" s="34"/>
      <c r="UE1885" s="34"/>
      <c r="UF1885" s="34"/>
      <c r="UG1885" s="34"/>
      <c r="UH1885" s="34"/>
      <c r="UI1885" s="34"/>
      <c r="UJ1885" s="34"/>
      <c r="UK1885" s="34"/>
      <c r="UL1885" s="34"/>
      <c r="UM1885" s="34"/>
      <c r="UN1885" s="34"/>
      <c r="UO1885" s="34"/>
      <c r="UP1885" s="34"/>
      <c r="UQ1885" s="34"/>
      <c r="UR1885" s="34"/>
      <c r="US1885" s="34"/>
      <c r="UT1885" s="34"/>
      <c r="UU1885" s="34"/>
      <c r="UV1885" s="34"/>
      <c r="UW1885" s="34"/>
      <c r="UX1885" s="34"/>
      <c r="UY1885" s="34"/>
      <c r="UZ1885" s="34"/>
      <c r="VA1885" s="34"/>
      <c r="VB1885" s="34"/>
      <c r="VC1885" s="34"/>
      <c r="VD1885" s="34"/>
      <c r="VE1885" s="34"/>
      <c r="VF1885" s="34"/>
      <c r="VG1885" s="34"/>
      <c r="VH1885" s="34"/>
      <c r="VI1885" s="34"/>
      <c r="VJ1885" s="34"/>
      <c r="VK1885" s="34"/>
      <c r="VL1885" s="34"/>
      <c r="VM1885" s="34"/>
      <c r="VN1885" s="34"/>
      <c r="VO1885" s="34"/>
      <c r="VP1885" s="34"/>
      <c r="VQ1885" s="34"/>
      <c r="VR1885" s="34"/>
      <c r="VS1885" s="34"/>
      <c r="VT1885" s="34"/>
      <c r="VU1885" s="34"/>
      <c r="VV1885" s="34"/>
      <c r="VW1885" s="34"/>
      <c r="VX1885" s="34"/>
      <c r="VY1885" s="34"/>
      <c r="VZ1885" s="34"/>
      <c r="WA1885" s="34"/>
      <c r="WB1885" s="34"/>
    </row>
    <row r="1950" spans="1:600" x14ac:dyDescent="0.35">
      <c r="A1950" s="34"/>
      <c r="B1950" s="34"/>
      <c r="C1950" s="34"/>
      <c r="D1950" s="34"/>
      <c r="E1950" s="34"/>
      <c r="F1950" s="34"/>
      <c r="G1950" s="34"/>
      <c r="H1950" s="34"/>
      <c r="I1950" s="34"/>
      <c r="J1950" s="34"/>
      <c r="K1950" s="34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34"/>
      <c r="DV1950" s="34"/>
      <c r="DW1950" s="34"/>
      <c r="DX1950" s="34"/>
      <c r="DY1950" s="34"/>
      <c r="DZ1950" s="34"/>
      <c r="EA1950" s="34"/>
      <c r="EB1950" s="34"/>
      <c r="EC1950" s="34"/>
      <c r="ED1950" s="34"/>
      <c r="EE1950" s="34"/>
      <c r="EF1950" s="34"/>
      <c r="EG1950" s="34"/>
      <c r="EH1950" s="34"/>
      <c r="EI1950" s="34"/>
      <c r="EJ1950" s="34"/>
      <c r="EK1950" s="34"/>
      <c r="EL1950" s="34"/>
      <c r="EM1950" s="34"/>
      <c r="EN1950" s="34"/>
      <c r="EO1950" s="34"/>
      <c r="EP1950" s="34"/>
      <c r="EQ1950" s="34"/>
      <c r="ER1950" s="34"/>
      <c r="ES1950" s="34"/>
      <c r="ET1950" s="34"/>
      <c r="EU1950" s="34"/>
      <c r="EV1950" s="34"/>
      <c r="EW1950" s="34"/>
      <c r="EX1950" s="34"/>
      <c r="EY1950" s="34"/>
      <c r="EZ1950" s="34"/>
      <c r="FA1950" s="34"/>
      <c r="FB1950" s="34"/>
      <c r="FC1950" s="34"/>
      <c r="FD1950" s="34"/>
      <c r="FE1950" s="34"/>
      <c r="FF1950" s="34"/>
      <c r="FG1950" s="34"/>
      <c r="FH1950" s="34"/>
      <c r="FI1950" s="34"/>
      <c r="FJ1950" s="34"/>
      <c r="FK1950" s="34"/>
      <c r="FL1950" s="34"/>
      <c r="FM1950" s="34"/>
      <c r="FN1950" s="34"/>
      <c r="FO1950" s="34"/>
      <c r="FP1950" s="34"/>
      <c r="FQ1950" s="34"/>
      <c r="FR1950" s="34"/>
      <c r="FS1950" s="34"/>
      <c r="FT1950" s="34"/>
      <c r="FU1950" s="34"/>
      <c r="FV1950" s="34"/>
      <c r="FW1950" s="34"/>
      <c r="FX1950" s="34"/>
      <c r="FY1950" s="34"/>
      <c r="FZ1950" s="34"/>
      <c r="GA1950" s="34"/>
      <c r="GB1950" s="34"/>
      <c r="GC1950" s="34"/>
      <c r="GD1950" s="34"/>
      <c r="GE1950" s="34"/>
      <c r="GF1950" s="34"/>
      <c r="GG1950" s="34"/>
      <c r="GH1950" s="34"/>
      <c r="GI1950" s="34"/>
      <c r="GJ1950" s="34"/>
      <c r="GK1950" s="34"/>
      <c r="GL1950" s="34"/>
      <c r="GM1950" s="34"/>
      <c r="GN1950" s="34"/>
      <c r="GO1950" s="34"/>
      <c r="GP1950" s="34"/>
      <c r="GQ1950" s="34"/>
      <c r="GR1950" s="34"/>
      <c r="GS1950" s="34"/>
      <c r="GT1950" s="34"/>
      <c r="GU1950" s="34"/>
      <c r="GV1950" s="34"/>
      <c r="GW1950" s="34"/>
      <c r="GX1950" s="34"/>
      <c r="GY1950" s="34"/>
      <c r="GZ1950" s="34"/>
      <c r="HA1950" s="34"/>
      <c r="HB1950" s="34"/>
      <c r="HC1950" s="34"/>
      <c r="HD1950" s="34"/>
      <c r="HE1950" s="34"/>
      <c r="HF1950" s="34"/>
      <c r="HG1950" s="34"/>
      <c r="HH1950" s="34"/>
      <c r="HI1950" s="34"/>
      <c r="HJ1950" s="34"/>
      <c r="HK1950" s="34"/>
      <c r="HL1950" s="34"/>
      <c r="HM1950" s="34"/>
      <c r="HN1950" s="34"/>
      <c r="HO1950" s="34"/>
      <c r="HP1950" s="34"/>
      <c r="HQ1950" s="34"/>
      <c r="HR1950" s="34"/>
      <c r="HS1950" s="34"/>
      <c r="HT1950" s="34"/>
      <c r="HU1950" s="34"/>
      <c r="HV1950" s="34"/>
      <c r="HW1950" s="34"/>
      <c r="HX1950" s="34"/>
      <c r="HY1950" s="34"/>
      <c r="HZ1950" s="34"/>
      <c r="IA1950" s="34"/>
      <c r="IB1950" s="34"/>
      <c r="IC1950" s="34"/>
      <c r="ID1950" s="34"/>
      <c r="IE1950" s="34"/>
      <c r="IF1950" s="34"/>
      <c r="IG1950" s="34"/>
      <c r="IH1950" s="34"/>
      <c r="II1950" s="34"/>
      <c r="IJ1950" s="34"/>
      <c r="IK1950" s="34"/>
      <c r="IL1950" s="34"/>
      <c r="IM1950" s="34"/>
      <c r="IN1950" s="34"/>
      <c r="IO1950" s="34"/>
      <c r="IP1950" s="34"/>
      <c r="IQ1950" s="34"/>
      <c r="IR1950" s="34"/>
      <c r="IS1950" s="34"/>
      <c r="IT1950" s="34"/>
      <c r="IU1950" s="34"/>
      <c r="IV1950" s="34"/>
      <c r="IW1950" s="34"/>
      <c r="IX1950" s="34"/>
      <c r="IY1950" s="34"/>
      <c r="IZ1950" s="34"/>
      <c r="JA1950" s="34"/>
      <c r="JB1950" s="34"/>
      <c r="JC1950" s="34"/>
      <c r="JD1950" s="34"/>
      <c r="JE1950" s="34"/>
      <c r="JF1950" s="34"/>
      <c r="JG1950" s="34"/>
      <c r="JH1950" s="34"/>
      <c r="JI1950" s="34"/>
      <c r="JJ1950" s="34"/>
      <c r="JK1950" s="34"/>
      <c r="JL1950" s="34"/>
      <c r="JM1950" s="34"/>
      <c r="JN1950" s="34"/>
      <c r="JO1950" s="34"/>
      <c r="JP1950" s="34"/>
      <c r="JQ1950" s="34"/>
      <c r="JR1950" s="34"/>
      <c r="JS1950" s="34"/>
      <c r="JT1950" s="34"/>
      <c r="JU1950" s="34"/>
      <c r="JV1950" s="34"/>
      <c r="JW1950" s="34"/>
      <c r="JX1950" s="34"/>
      <c r="JY1950" s="34"/>
      <c r="JZ1950" s="34"/>
      <c r="KA1950" s="34"/>
      <c r="KB1950" s="34"/>
      <c r="KC1950" s="34"/>
      <c r="KD1950" s="34"/>
      <c r="KE1950" s="34"/>
      <c r="KF1950" s="34"/>
      <c r="KG1950" s="34"/>
      <c r="KH1950" s="34"/>
      <c r="KI1950" s="34"/>
      <c r="KJ1950" s="34"/>
      <c r="KK1950" s="34"/>
      <c r="KL1950" s="34"/>
      <c r="KM1950" s="34"/>
      <c r="KN1950" s="34"/>
      <c r="KO1950" s="34"/>
      <c r="KP1950" s="34"/>
      <c r="KQ1950" s="34"/>
      <c r="KR1950" s="34"/>
      <c r="KS1950" s="34"/>
      <c r="KT1950" s="34"/>
      <c r="KU1950" s="34"/>
      <c r="KV1950" s="34"/>
      <c r="KW1950" s="34"/>
      <c r="KX1950" s="34"/>
      <c r="KY1950" s="34"/>
      <c r="KZ1950" s="34"/>
      <c r="LA1950" s="34"/>
      <c r="LB1950" s="34"/>
      <c r="LC1950" s="34"/>
      <c r="LD1950" s="34"/>
      <c r="LE1950" s="34"/>
      <c r="LF1950" s="34"/>
      <c r="LG1950" s="34"/>
      <c r="LH1950" s="34"/>
      <c r="LI1950" s="34"/>
      <c r="LJ1950" s="34"/>
      <c r="LK1950" s="34"/>
      <c r="LL1950" s="34"/>
      <c r="LM1950" s="34"/>
      <c r="LN1950" s="34"/>
      <c r="LO1950" s="34"/>
      <c r="LP1950" s="34"/>
      <c r="LQ1950" s="34"/>
      <c r="LR1950" s="34"/>
      <c r="LS1950" s="34"/>
      <c r="LT1950" s="34"/>
      <c r="LU1950" s="34"/>
      <c r="LV1950" s="34"/>
      <c r="LW1950" s="34"/>
      <c r="LX1950" s="34"/>
      <c r="LY1950" s="34"/>
      <c r="LZ1950" s="34"/>
      <c r="MA1950" s="34"/>
      <c r="MB1950" s="34"/>
      <c r="MC1950" s="34"/>
      <c r="MD1950" s="34"/>
      <c r="ME1950" s="34"/>
      <c r="MF1950" s="34"/>
      <c r="MG1950" s="34"/>
      <c r="MH1950" s="34"/>
      <c r="MI1950" s="34"/>
      <c r="MJ1950" s="34"/>
      <c r="MK1950" s="34"/>
      <c r="ML1950" s="34"/>
      <c r="MM1950" s="34"/>
      <c r="MN1950" s="34"/>
      <c r="MO1950" s="34"/>
      <c r="MP1950" s="34"/>
      <c r="MQ1950" s="34"/>
      <c r="MR1950" s="34"/>
      <c r="MS1950" s="34"/>
      <c r="MT1950" s="34"/>
      <c r="MU1950" s="34"/>
      <c r="MV1950" s="34"/>
      <c r="MW1950" s="34"/>
      <c r="MX1950" s="34"/>
      <c r="MY1950" s="34"/>
      <c r="MZ1950" s="34"/>
      <c r="NA1950" s="34"/>
      <c r="NB1950" s="34"/>
      <c r="NC1950" s="34"/>
      <c r="ND1950" s="34"/>
      <c r="NE1950" s="34"/>
      <c r="NF1950" s="34"/>
      <c r="NG1950" s="34"/>
      <c r="NH1950" s="34"/>
      <c r="NI1950" s="34"/>
      <c r="NJ1950" s="34"/>
      <c r="NK1950" s="34"/>
      <c r="NL1950" s="34"/>
      <c r="NM1950" s="34"/>
      <c r="NN1950" s="34"/>
      <c r="NO1950" s="34"/>
      <c r="NP1950" s="34"/>
      <c r="NQ1950" s="34"/>
      <c r="NR1950" s="34"/>
      <c r="NS1950" s="34"/>
      <c r="NT1950" s="34"/>
      <c r="NU1950" s="34"/>
      <c r="NV1950" s="34"/>
      <c r="NW1950" s="34"/>
      <c r="NX1950" s="34"/>
      <c r="NY1950" s="34"/>
      <c r="NZ1950" s="34"/>
      <c r="OA1950" s="34"/>
      <c r="OB1950" s="34"/>
      <c r="OC1950" s="34"/>
      <c r="OD1950" s="34"/>
      <c r="OE1950" s="34"/>
      <c r="OF1950" s="34"/>
      <c r="OG1950" s="34"/>
      <c r="OH1950" s="34"/>
      <c r="OI1950" s="34"/>
      <c r="OJ1950" s="34"/>
      <c r="OK1950" s="34"/>
      <c r="OL1950" s="34"/>
      <c r="OM1950" s="34"/>
      <c r="ON1950" s="34"/>
      <c r="OO1950" s="34"/>
      <c r="OP1950" s="34"/>
      <c r="OQ1950" s="34"/>
      <c r="OR1950" s="34"/>
      <c r="OS1950" s="34"/>
      <c r="OT1950" s="34"/>
      <c r="OU1950" s="34"/>
      <c r="OV1950" s="34"/>
      <c r="OW1950" s="34"/>
      <c r="OX1950" s="34"/>
      <c r="OY1950" s="34"/>
      <c r="OZ1950" s="34"/>
      <c r="PA1950" s="34"/>
      <c r="PB1950" s="34"/>
      <c r="PC1950" s="34"/>
      <c r="PD1950" s="34"/>
      <c r="PE1950" s="34"/>
      <c r="PF1950" s="34"/>
      <c r="PG1950" s="34"/>
      <c r="PH1950" s="34"/>
      <c r="PI1950" s="34"/>
      <c r="PJ1950" s="34"/>
      <c r="PK1950" s="34"/>
      <c r="PL1950" s="34"/>
      <c r="PM1950" s="34"/>
      <c r="PN1950" s="34"/>
      <c r="PO1950" s="34"/>
      <c r="PP1950" s="34"/>
      <c r="PQ1950" s="34"/>
      <c r="PR1950" s="34"/>
      <c r="PS1950" s="34"/>
      <c r="PT1950" s="34"/>
      <c r="PU1950" s="34"/>
      <c r="PV1950" s="34"/>
      <c r="PW1950" s="34"/>
      <c r="PX1950" s="34"/>
      <c r="PY1950" s="34"/>
      <c r="PZ1950" s="34"/>
      <c r="QA1950" s="34"/>
      <c r="QB1950" s="34"/>
      <c r="QC1950" s="34"/>
      <c r="QD1950" s="34"/>
      <c r="QE1950" s="34"/>
      <c r="QF1950" s="34"/>
      <c r="QG1950" s="34"/>
      <c r="QH1950" s="34"/>
      <c r="QI1950" s="34"/>
      <c r="QJ1950" s="34"/>
      <c r="QK1950" s="34"/>
      <c r="QL1950" s="34"/>
      <c r="QM1950" s="34"/>
      <c r="QN1950" s="34"/>
      <c r="QO1950" s="34"/>
      <c r="QP1950" s="34"/>
      <c r="QQ1950" s="34"/>
      <c r="QR1950" s="34"/>
      <c r="QS1950" s="34"/>
      <c r="QT1950" s="34"/>
      <c r="QU1950" s="34"/>
      <c r="QV1950" s="34"/>
      <c r="QW1950" s="34"/>
      <c r="QX1950" s="34"/>
      <c r="QY1950" s="34"/>
      <c r="QZ1950" s="34"/>
      <c r="RA1950" s="34"/>
      <c r="RB1950" s="34"/>
      <c r="RC1950" s="34"/>
      <c r="RD1950" s="34"/>
      <c r="RE1950" s="34"/>
      <c r="RF1950" s="34"/>
      <c r="RG1950" s="34"/>
      <c r="RH1950" s="34"/>
      <c r="RI1950" s="34"/>
      <c r="RJ1950" s="34"/>
      <c r="RK1950" s="34"/>
      <c r="RL1950" s="34"/>
      <c r="RM1950" s="34"/>
      <c r="RN1950" s="34"/>
      <c r="RO1950" s="34"/>
      <c r="RP1950" s="34"/>
      <c r="RQ1950" s="34"/>
      <c r="RR1950" s="34"/>
      <c r="RS1950" s="34"/>
      <c r="RT1950" s="34"/>
      <c r="RU1950" s="34"/>
      <c r="RV1950" s="34"/>
      <c r="RW1950" s="34"/>
      <c r="RX1950" s="34"/>
      <c r="RY1950" s="34"/>
      <c r="RZ1950" s="34"/>
      <c r="SA1950" s="34"/>
      <c r="SB1950" s="34"/>
      <c r="SC1950" s="34"/>
      <c r="SD1950" s="34"/>
      <c r="SE1950" s="34"/>
      <c r="SF1950" s="34"/>
      <c r="SG1950" s="34"/>
      <c r="SH1950" s="34"/>
      <c r="SI1950" s="34"/>
      <c r="SJ1950" s="34"/>
      <c r="SK1950" s="34"/>
      <c r="SL1950" s="34"/>
      <c r="SM1950" s="34"/>
      <c r="SN1950" s="34"/>
      <c r="SO1950" s="34"/>
      <c r="SP1950" s="34"/>
      <c r="SQ1950" s="34"/>
      <c r="SR1950" s="34"/>
      <c r="SS1950" s="34"/>
      <c r="ST1950" s="34"/>
      <c r="SU1950" s="34"/>
      <c r="SV1950" s="34"/>
      <c r="SW1950" s="34"/>
      <c r="SX1950" s="34"/>
      <c r="SY1950" s="34"/>
      <c r="SZ1950" s="34"/>
      <c r="TA1950" s="34"/>
      <c r="TB1950" s="34"/>
      <c r="TC1950" s="34"/>
      <c r="TD1950" s="34"/>
      <c r="TE1950" s="34"/>
      <c r="TF1950" s="34"/>
      <c r="TG1950" s="34"/>
      <c r="TH1950" s="34"/>
      <c r="TI1950" s="34"/>
      <c r="TJ1950" s="34"/>
      <c r="TK1950" s="34"/>
      <c r="TL1950" s="34"/>
      <c r="TM1950" s="34"/>
      <c r="TN1950" s="34"/>
      <c r="TO1950" s="34"/>
      <c r="TP1950" s="34"/>
      <c r="TQ1950" s="34"/>
      <c r="TR1950" s="34"/>
      <c r="TS1950" s="34"/>
      <c r="TT1950" s="34"/>
      <c r="TU1950" s="34"/>
      <c r="TV1950" s="34"/>
      <c r="TW1950" s="34"/>
      <c r="TX1950" s="34"/>
      <c r="TY1950" s="34"/>
      <c r="TZ1950" s="34"/>
      <c r="UA1950" s="34"/>
      <c r="UB1950" s="34"/>
      <c r="UC1950" s="34"/>
      <c r="UD1950" s="34"/>
      <c r="UE1950" s="34"/>
      <c r="UF1950" s="34"/>
      <c r="UG1950" s="34"/>
      <c r="UH1950" s="34"/>
      <c r="UI1950" s="34"/>
      <c r="UJ1950" s="34"/>
      <c r="UK1950" s="34"/>
      <c r="UL1950" s="34"/>
      <c r="UM1950" s="34"/>
      <c r="UN1950" s="34"/>
      <c r="UO1950" s="34"/>
      <c r="UP1950" s="34"/>
      <c r="UQ1950" s="34"/>
      <c r="UR1950" s="34"/>
      <c r="US1950" s="34"/>
      <c r="UT1950" s="34"/>
      <c r="UU1950" s="34"/>
      <c r="UV1950" s="34"/>
      <c r="UW1950" s="34"/>
      <c r="UX1950" s="34"/>
      <c r="UY1950" s="34"/>
      <c r="UZ1950" s="34"/>
      <c r="VA1950" s="34"/>
      <c r="VB1950" s="34"/>
      <c r="VC1950" s="34"/>
      <c r="VD1950" s="34"/>
      <c r="VE1950" s="34"/>
      <c r="VF1950" s="34"/>
      <c r="VG1950" s="34"/>
      <c r="VH1950" s="34"/>
      <c r="VI1950" s="34"/>
      <c r="VJ1950" s="34"/>
      <c r="VK1950" s="34"/>
      <c r="VL1950" s="34"/>
      <c r="VM1950" s="34"/>
      <c r="VN1950" s="34"/>
      <c r="VO1950" s="34"/>
      <c r="VP1950" s="34"/>
      <c r="VQ1950" s="34"/>
      <c r="VR1950" s="34"/>
      <c r="VS1950" s="34"/>
      <c r="VT1950" s="34"/>
      <c r="VU1950" s="34"/>
      <c r="VV1950" s="34"/>
      <c r="VW1950" s="34"/>
      <c r="VX1950" s="34"/>
      <c r="VY1950" s="34"/>
      <c r="VZ1950" s="34"/>
      <c r="WA1950" s="34"/>
      <c r="WB1950" s="34"/>
    </row>
    <row r="2900" spans="10:29" x14ac:dyDescent="0.35"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  <c r="AA2900" s="4"/>
      <c r="AB2900" s="4"/>
      <c r="AC2900" s="4"/>
    </row>
    <row r="2901" spans="10:29" x14ac:dyDescent="0.35"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  <c r="AA2901" s="4"/>
      <c r="AB2901" s="4"/>
      <c r="AC2901" s="4"/>
    </row>
    <row r="2902" spans="10:29" x14ac:dyDescent="0.35"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  <c r="AA2902" s="4"/>
      <c r="AB2902" s="4"/>
      <c r="AC2902" s="4"/>
    </row>
    <row r="2903" spans="10:29" x14ac:dyDescent="0.35"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  <c r="AA2903" s="4"/>
      <c r="AB2903" s="4"/>
      <c r="AC2903" s="4"/>
    </row>
    <row r="2904" spans="10:29" x14ac:dyDescent="0.35"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  <c r="AA2904" s="4"/>
      <c r="AB2904" s="4"/>
      <c r="AC2904" s="4"/>
    </row>
    <row r="2905" spans="10:29" x14ac:dyDescent="0.35"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  <c r="AA2905" s="4"/>
      <c r="AB2905" s="4"/>
      <c r="AC2905" s="4"/>
    </row>
    <row r="2906" spans="10:29" x14ac:dyDescent="0.35"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  <c r="AA2906" s="4"/>
      <c r="AB2906" s="4"/>
      <c r="AC2906" s="4"/>
    </row>
    <row r="2907" spans="10:29" x14ac:dyDescent="0.35">
      <c r="J2907" s="4"/>
      <c r="K2907" s="4"/>
      <c r="L2907" s="4"/>
      <c r="M2907" s="4"/>
      <c r="N2907" s="4"/>
      <c r="O2907" s="36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  <c r="AA2907" s="4"/>
      <c r="AB2907" s="4"/>
      <c r="AC2907" s="4"/>
    </row>
    <row r="2908" spans="10:29" x14ac:dyDescent="0.35">
      <c r="J2908" s="4"/>
      <c r="K2908" s="4"/>
      <c r="L2908" s="4"/>
      <c r="M2908" s="4"/>
      <c r="N2908" s="4"/>
      <c r="O2908" s="36"/>
      <c r="P2908" s="37"/>
      <c r="Q2908" s="4"/>
      <c r="R2908" s="4"/>
      <c r="S2908" s="4"/>
      <c r="T2908" s="36"/>
      <c r="U2908" s="4"/>
      <c r="V2908" s="4"/>
      <c r="W2908" s="4"/>
      <c r="X2908" s="4"/>
      <c r="Y2908" s="4"/>
      <c r="Z2908" s="4"/>
      <c r="AA2908" s="4"/>
      <c r="AB2908" s="4"/>
      <c r="AC2908" s="4"/>
    </row>
    <row r="2909" spans="10:29" x14ac:dyDescent="0.35">
      <c r="J2909" s="4"/>
      <c r="K2909" s="4"/>
      <c r="L2909" s="4"/>
      <c r="M2909" s="4"/>
      <c r="N2909" s="4"/>
      <c r="O2909" s="36"/>
      <c r="P2909" s="37"/>
      <c r="Q2909" s="4"/>
      <c r="R2909" s="4"/>
      <c r="S2909" s="4"/>
      <c r="T2909" s="36"/>
      <c r="U2909" s="37"/>
      <c r="V2909" s="4"/>
      <c r="W2909" s="4"/>
      <c r="X2909" s="4"/>
      <c r="Y2909" s="4"/>
      <c r="Z2909" s="4"/>
      <c r="AA2909" s="4"/>
      <c r="AB2909" s="4"/>
      <c r="AC2909" s="4"/>
    </row>
    <row r="2910" spans="10:29" x14ac:dyDescent="0.35">
      <c r="J2910" s="4"/>
      <c r="K2910" s="4"/>
      <c r="L2910" s="4"/>
      <c r="M2910" s="4"/>
      <c r="N2910" s="4"/>
      <c r="O2910" s="36"/>
      <c r="P2910" s="37"/>
      <c r="Q2910" s="4"/>
      <c r="R2910" s="4"/>
      <c r="S2910" s="4"/>
      <c r="T2910" s="36"/>
      <c r="U2910" s="37"/>
      <c r="V2910" s="4"/>
      <c r="W2910" s="4"/>
      <c r="X2910" s="4"/>
      <c r="Y2910" s="4"/>
      <c r="Z2910" s="4"/>
      <c r="AA2910" s="4"/>
      <c r="AB2910" s="4"/>
      <c r="AC2910" s="4"/>
    </row>
    <row r="2911" spans="10:29" x14ac:dyDescent="0.35">
      <c r="J2911" s="4"/>
      <c r="K2911" s="4"/>
      <c r="L2911" s="4"/>
      <c r="M2911" s="4"/>
      <c r="N2911" s="4"/>
      <c r="O2911" s="36"/>
      <c r="P2911" s="37"/>
      <c r="Q2911" s="4"/>
      <c r="R2911" s="4"/>
      <c r="S2911" s="4"/>
      <c r="T2911" s="36"/>
      <c r="U2911" s="37"/>
      <c r="V2911" s="4"/>
      <c r="W2911" s="4"/>
      <c r="X2911" s="4"/>
      <c r="Y2911" s="4"/>
      <c r="Z2911" s="4"/>
      <c r="AA2911" s="4"/>
      <c r="AB2911" s="4"/>
      <c r="AC2911" s="4"/>
    </row>
    <row r="2912" spans="10:29" x14ac:dyDescent="0.35">
      <c r="J2912" s="4"/>
      <c r="K2912" s="36"/>
      <c r="L2912" s="4"/>
      <c r="M2912" s="4"/>
      <c r="N2912" s="4"/>
      <c r="O2912" s="36"/>
      <c r="P2912" s="37"/>
      <c r="Q2912" s="4"/>
      <c r="R2912" s="4"/>
      <c r="S2912" s="4"/>
      <c r="T2912" s="36"/>
      <c r="U2912" s="37"/>
      <c r="V2912" s="4"/>
      <c r="W2912" s="4"/>
      <c r="X2912" s="4"/>
      <c r="Y2912" s="4"/>
      <c r="Z2912" s="4"/>
      <c r="AA2912" s="4"/>
      <c r="AB2912" s="4"/>
      <c r="AC2912" s="4"/>
    </row>
    <row r="2913" spans="9:48" x14ac:dyDescent="0.35">
      <c r="J2913" s="4"/>
      <c r="K2913" s="36"/>
      <c r="L2913" s="37"/>
      <c r="M2913" s="4"/>
      <c r="N2913" s="4"/>
      <c r="O2913" s="36"/>
      <c r="P2913" s="37"/>
      <c r="Q2913" s="4"/>
      <c r="R2913" s="4"/>
      <c r="S2913" s="4"/>
      <c r="T2913" s="36"/>
      <c r="U2913" s="37"/>
      <c r="V2913" s="4"/>
      <c r="W2913" s="4"/>
      <c r="X2913" s="4"/>
      <c r="Y2913" s="4"/>
      <c r="Z2913" s="4"/>
      <c r="AA2913" s="4"/>
      <c r="AB2913" s="4"/>
      <c r="AC2913" s="4"/>
    </row>
    <row r="2914" spans="9:48" x14ac:dyDescent="0.35">
      <c r="J2914" s="4"/>
      <c r="K2914" s="36"/>
      <c r="L2914" s="37"/>
      <c r="M2914" s="4"/>
      <c r="N2914" s="4"/>
      <c r="O2914" s="4"/>
      <c r="P2914" s="4"/>
      <c r="Q2914" s="4"/>
      <c r="R2914" s="4"/>
      <c r="S2914" s="4"/>
      <c r="T2914" s="36"/>
      <c r="U2914" s="37"/>
      <c r="V2914" s="4"/>
      <c r="W2914" s="4"/>
      <c r="X2914" s="4"/>
      <c r="Y2914" s="4"/>
      <c r="Z2914" s="4"/>
      <c r="AA2914" s="4"/>
      <c r="AB2914" s="4"/>
      <c r="AC2914" s="4"/>
    </row>
    <row r="2915" spans="9:48" x14ac:dyDescent="0.35">
      <c r="J2915" s="4"/>
      <c r="K2915" s="36"/>
      <c r="L2915" s="37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  <c r="AA2915" s="4"/>
      <c r="AB2915" s="4"/>
      <c r="AC2915" s="4"/>
    </row>
    <row r="2916" spans="9:48" x14ac:dyDescent="0.35">
      <c r="J2916" s="4"/>
      <c r="K2916" s="36"/>
      <c r="L2916" s="37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  <c r="AA2916" s="4"/>
      <c r="AB2916" s="4"/>
      <c r="AC2916" s="4"/>
    </row>
    <row r="2917" spans="9:48" x14ac:dyDescent="0.35">
      <c r="J2917" s="4"/>
      <c r="K2917" s="36"/>
      <c r="L2917" s="37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  <c r="AA2917" s="4"/>
      <c r="AB2917" s="4"/>
      <c r="AC2917" s="4"/>
    </row>
    <row r="2918" spans="9:48" x14ac:dyDescent="0.35">
      <c r="J2918" s="4"/>
      <c r="K2918" s="36"/>
      <c r="L2918" s="37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  <c r="AA2918" s="4"/>
      <c r="AB2918" s="4"/>
      <c r="AC2918" s="4"/>
    </row>
    <row r="2919" spans="9:48" x14ac:dyDescent="0.35"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  <c r="AA2919" s="4"/>
      <c r="AB2919" s="4"/>
      <c r="AC2919" s="4"/>
    </row>
    <row r="2920" spans="9:48" x14ac:dyDescent="0.35"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  <c r="AA2920" s="4"/>
      <c r="AB2920" s="4"/>
      <c r="AC2920" s="4"/>
    </row>
    <row r="2921" spans="9:48" x14ac:dyDescent="0.35"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  <c r="AA2921" s="4"/>
      <c r="AB2921" s="4"/>
      <c r="AC2921" s="4"/>
    </row>
    <row r="2922" spans="9:48" ht="79.25" customHeight="1" x14ac:dyDescent="0.35">
      <c r="I2922" s="33"/>
      <c r="J2922" s="38"/>
      <c r="K2922" s="38"/>
      <c r="L2922" s="38"/>
      <c r="M2922" s="55"/>
      <c r="N2922" s="56"/>
      <c r="O2922" s="38"/>
      <c r="P2922" s="38"/>
      <c r="Q2922" s="55"/>
      <c r="R2922" s="63"/>
      <c r="S2922" s="63"/>
      <c r="T2922" s="38"/>
      <c r="U2922" s="38"/>
      <c r="V2922" s="38"/>
      <c r="W2922" s="38"/>
      <c r="X2922" s="38"/>
      <c r="Y2922" s="38"/>
      <c r="Z2922" s="39"/>
      <c r="AA2922" s="40"/>
      <c r="AB2922" s="41"/>
      <c r="AC2922" s="38"/>
      <c r="AD2922" s="33"/>
      <c r="AE2922" s="33"/>
      <c r="AF2922" s="33"/>
      <c r="AG2922" s="33"/>
      <c r="AH2922" s="33"/>
      <c r="AI2922" s="33"/>
      <c r="AJ2922" s="33"/>
      <c r="AK2922" s="33"/>
      <c r="AL2922" s="33"/>
      <c r="AM2922" s="33"/>
      <c r="AN2922" s="33"/>
      <c r="AO2922" s="33"/>
      <c r="AP2922" s="33"/>
      <c r="AQ2922" s="33"/>
      <c r="AR2922" s="33"/>
      <c r="AS2922" s="33"/>
      <c r="AT2922" s="33"/>
      <c r="AU2922" s="33"/>
      <c r="AV2922" s="33"/>
    </row>
    <row r="2923" spans="9:48" ht="79.25" customHeight="1" x14ac:dyDescent="1">
      <c r="I2923" s="33"/>
      <c r="J2923" s="38"/>
      <c r="K2923" s="53"/>
      <c r="L2923" s="62"/>
      <c r="M2923" s="38"/>
      <c r="N2923" s="38"/>
      <c r="O2923" s="53"/>
      <c r="P2923" s="54"/>
      <c r="Q2923" s="43"/>
      <c r="R2923" s="43"/>
      <c r="S2923" s="43"/>
      <c r="T2923" s="53"/>
      <c r="U2923" s="54"/>
      <c r="V2923" s="38"/>
      <c r="W2923" s="38"/>
      <c r="X2923" s="38"/>
      <c r="Y2923" s="38"/>
      <c r="Z2923" s="39"/>
      <c r="AA2923" s="40"/>
      <c r="AB2923" s="42"/>
      <c r="AC2923" s="38"/>
      <c r="AD2923" s="33"/>
      <c r="AE2923" s="33"/>
      <c r="AF2923" s="33"/>
      <c r="AG2923" s="33"/>
      <c r="AH2923" s="33"/>
      <c r="AI2923" s="33"/>
      <c r="AJ2923" s="33"/>
      <c r="AK2923" s="33"/>
      <c r="AL2923" s="33"/>
      <c r="AM2923" s="33"/>
      <c r="AN2923" s="33"/>
      <c r="AO2923" s="33"/>
      <c r="AP2923" s="33"/>
      <c r="AQ2923" s="33"/>
      <c r="AR2923" s="33"/>
      <c r="AS2923" s="33"/>
      <c r="AT2923" s="33"/>
      <c r="AU2923" s="33"/>
      <c r="AV2923" s="33"/>
    </row>
    <row r="2924" spans="9:48" x14ac:dyDescent="0.35"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  <c r="AA2924" s="4"/>
      <c r="AB2924" s="4"/>
      <c r="AC2924" s="4"/>
    </row>
    <row r="2925" spans="9:48" x14ac:dyDescent="0.35"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  <c r="AA2925" s="4"/>
      <c r="AB2925" s="4"/>
      <c r="AC2925" s="4"/>
    </row>
    <row r="2926" spans="9:48" x14ac:dyDescent="0.35"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  <c r="AA2926" s="4"/>
      <c r="AB2926" s="4"/>
      <c r="AC2926" s="4"/>
    </row>
    <row r="2927" spans="9:48" x14ac:dyDescent="0.35"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  <c r="AA2927" s="4"/>
      <c r="AB2927" s="4"/>
      <c r="AC2927" s="4"/>
    </row>
    <row r="2928" spans="9:48" x14ac:dyDescent="0.35"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  <c r="AA2928" s="4"/>
      <c r="AB2928" s="4"/>
      <c r="AC2928" s="4"/>
    </row>
    <row r="2929" spans="10:29" x14ac:dyDescent="0.35"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  <c r="AA2929" s="4"/>
      <c r="AB2929" s="4"/>
      <c r="AC2929" s="4"/>
    </row>
  </sheetData>
  <mergeCells count="42">
    <mergeCell ref="AR163:AS163"/>
    <mergeCell ref="AJ107:AO107"/>
    <mergeCell ref="AP108:AQ108"/>
    <mergeCell ref="W163:X163"/>
    <mergeCell ref="Y162:AD162"/>
    <mergeCell ref="AE163:AF163"/>
    <mergeCell ref="AG162:AI162"/>
    <mergeCell ref="AJ163:AK163"/>
    <mergeCell ref="AL162:AQ162"/>
    <mergeCell ref="U108:V108"/>
    <mergeCell ref="W107:AB107"/>
    <mergeCell ref="AC108:AD108"/>
    <mergeCell ref="AE107:AG107"/>
    <mergeCell ref="AH108:AI108"/>
    <mergeCell ref="AO53:AP53"/>
    <mergeCell ref="K2923:L2923"/>
    <mergeCell ref="AU53:AV53"/>
    <mergeCell ref="AW52:AY52"/>
    <mergeCell ref="AZ53:BA53"/>
    <mergeCell ref="M2922:N2922"/>
    <mergeCell ref="O2923:P2923"/>
    <mergeCell ref="Q2922:S2922"/>
    <mergeCell ref="T2923:U2923"/>
    <mergeCell ref="AU152:AW152"/>
    <mergeCell ref="AX153:AY153"/>
    <mergeCell ref="AZ152:BD152"/>
    <mergeCell ref="Z52:AB52"/>
    <mergeCell ref="AC53:AD53"/>
    <mergeCell ref="AE52:AI52"/>
    <mergeCell ref="AJ53:AK53"/>
    <mergeCell ref="AL52:AN52"/>
    <mergeCell ref="N53:O53"/>
    <mergeCell ref="P52:R52"/>
    <mergeCell ref="S53:T53"/>
    <mergeCell ref="U52:W52"/>
    <mergeCell ref="X53:Y53"/>
    <mergeCell ref="BE153:BF153"/>
    <mergeCell ref="BG152:BI152"/>
    <mergeCell ref="BJ153:BK153"/>
    <mergeCell ref="BE53:BF53"/>
    <mergeCell ref="AQ52:AT52"/>
    <mergeCell ref="BB52:BD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autoPict="0" r:id="rId5">
            <anchor moveWithCells="1">
              <from>
                <xdr:col>17</xdr:col>
                <xdr:colOff>2381250</xdr:colOff>
                <xdr:row>19</xdr:row>
                <xdr:rowOff>438150</xdr:rowOff>
              </from>
              <to>
                <xdr:col>22</xdr:col>
                <xdr:colOff>622300</xdr:colOff>
                <xdr:row>24</xdr:row>
                <xdr:rowOff>355600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9A45-C26C-4B07-AEDB-34EE9550F8D3}">
  <sheetPr codeName="Feuil2"/>
  <dimension ref="A1:AD15"/>
  <sheetViews>
    <sheetView tabSelected="1" workbookViewId="0">
      <selection activeCell="H22" sqref="H22"/>
    </sheetView>
  </sheetViews>
  <sheetFormatPr baseColWidth="10" defaultRowHeight="14.5" x14ac:dyDescent="0.35"/>
  <cols>
    <col min="1" max="1" width="16.08984375" customWidth="1"/>
    <col min="2" max="2" width="26.26953125" customWidth="1"/>
    <col min="3" max="3" width="1.54296875" customWidth="1"/>
    <col min="4" max="4" width="1.453125" customWidth="1"/>
    <col min="5" max="5" width="20.36328125" customWidth="1"/>
    <col min="6" max="6" width="11.81640625" customWidth="1"/>
    <col min="7" max="7" width="1.6328125" customWidth="1"/>
    <col min="8" max="8" width="16.6328125" customWidth="1"/>
    <col min="9" max="9" width="16.1796875" customWidth="1"/>
    <col min="10" max="10" width="10.453125" customWidth="1"/>
    <col min="11" max="11" width="2.453125" customWidth="1"/>
    <col min="12" max="12" width="20.26953125" customWidth="1"/>
    <col min="13" max="13" width="10.08984375" customWidth="1"/>
    <col min="14" max="14" width="15.6328125" customWidth="1"/>
    <col min="22" max="22" width="17.36328125" customWidth="1"/>
    <col min="24" max="24" width="2.26953125" customWidth="1"/>
    <col min="25" max="25" width="17.1796875" customWidth="1"/>
    <col min="26" max="26" width="15.90625" customWidth="1"/>
    <col min="28" max="28" width="1.7265625" customWidth="1"/>
    <col min="29" max="29" width="20" style="22" customWidth="1"/>
    <col min="30" max="30" width="7.54296875" style="23" customWidth="1"/>
    <col min="31" max="31" width="16.54296875" customWidth="1"/>
  </cols>
  <sheetData>
    <row r="1" spans="1:14" x14ac:dyDescent="0.35">
      <c r="A1" s="16" t="s">
        <v>71</v>
      </c>
      <c r="B1" s="17" t="s">
        <v>72</v>
      </c>
      <c r="E1" s="18" t="s">
        <v>73</v>
      </c>
      <c r="F1" s="18" t="s">
        <v>74</v>
      </c>
      <c r="H1" s="19" t="s">
        <v>75</v>
      </c>
      <c r="I1" s="19" t="s">
        <v>76</v>
      </c>
      <c r="J1" s="19" t="s">
        <v>77</v>
      </c>
      <c r="K1" s="20"/>
      <c r="L1" s="21" t="s">
        <v>78</v>
      </c>
      <c r="M1" s="21" t="s">
        <v>79</v>
      </c>
      <c r="N1" s="21" t="s">
        <v>80</v>
      </c>
    </row>
    <row r="2" spans="1:14" x14ac:dyDescent="0.35">
      <c r="A2" s="24" t="s">
        <v>81</v>
      </c>
      <c r="B2" s="15">
        <f>(650+1300+1450+800)/4</f>
        <v>1050</v>
      </c>
      <c r="E2" s="25" t="s">
        <v>48</v>
      </c>
      <c r="F2" s="26">
        <f xml:space="preserve"> 4*5*2*50</f>
        <v>2000</v>
      </c>
      <c r="H2" s="15" t="s">
        <v>82</v>
      </c>
      <c r="I2" s="12">
        <v>2</v>
      </c>
      <c r="J2" s="12"/>
      <c r="L2" s="27" t="s">
        <v>83</v>
      </c>
      <c r="M2" s="28">
        <v>3</v>
      </c>
      <c r="N2" s="29"/>
    </row>
    <row r="3" spans="1:14" x14ac:dyDescent="0.35">
      <c r="A3" s="24" t="s">
        <v>84</v>
      </c>
      <c r="B3" s="15">
        <f>(1300+175+800+800+2175+2800)/6</f>
        <v>1341.6666666666667</v>
      </c>
      <c r="E3" s="30" t="s">
        <v>85</v>
      </c>
      <c r="F3" s="12">
        <f>4*5*2*50</f>
        <v>2000</v>
      </c>
      <c r="H3" s="15" t="s">
        <v>86</v>
      </c>
      <c r="I3" s="12">
        <v>1</v>
      </c>
      <c r="J3" s="12"/>
      <c r="L3" s="30" t="s">
        <v>87</v>
      </c>
      <c r="M3" s="31">
        <v>7.66</v>
      </c>
      <c r="N3" s="15" t="s">
        <v>88</v>
      </c>
    </row>
    <row r="4" spans="1:14" x14ac:dyDescent="0.35">
      <c r="A4" s="24" t="s">
        <v>89</v>
      </c>
      <c r="B4" s="15">
        <f>(2400+2175+2800)/3</f>
        <v>2458.3333333333335</v>
      </c>
      <c r="E4" s="30" t="s">
        <v>47</v>
      </c>
      <c r="F4" s="12">
        <f>8*5*2*50</f>
        <v>4000</v>
      </c>
      <c r="H4" s="15" t="s">
        <v>90</v>
      </c>
      <c r="I4" s="12">
        <v>5</v>
      </c>
      <c r="J4" s="12">
        <f>400+400+350+350</f>
        <v>1500</v>
      </c>
      <c r="L4" s="30" t="s">
        <v>91</v>
      </c>
      <c r="M4" s="31">
        <v>5.75</v>
      </c>
      <c r="N4" s="15" t="s">
        <v>92</v>
      </c>
    </row>
    <row r="5" spans="1:14" x14ac:dyDescent="0.35">
      <c r="A5" s="24" t="s">
        <v>48</v>
      </c>
      <c r="B5" s="15">
        <f>(2600+2700+1200)/3</f>
        <v>2166.6666666666665</v>
      </c>
      <c r="E5" s="30" t="s">
        <v>50</v>
      </c>
      <c r="F5" s="12">
        <f>6*2*25</f>
        <v>300</v>
      </c>
      <c r="H5" s="15" t="s">
        <v>93</v>
      </c>
      <c r="I5" s="12">
        <v>4</v>
      </c>
      <c r="J5" s="12">
        <f>400+450+450+600</f>
        <v>1900</v>
      </c>
      <c r="L5" s="30" t="s">
        <v>94</v>
      </c>
      <c r="M5" s="31">
        <v>11300</v>
      </c>
      <c r="N5" s="15" t="s">
        <v>95</v>
      </c>
    </row>
    <row r="6" spans="1:14" x14ac:dyDescent="0.35">
      <c r="A6" s="24" t="s">
        <v>55</v>
      </c>
      <c r="B6" s="15">
        <f>1450</f>
        <v>1450</v>
      </c>
      <c r="E6" s="30" t="s">
        <v>55</v>
      </c>
      <c r="F6" s="12">
        <f>2*5*2*25</f>
        <v>500</v>
      </c>
      <c r="H6" s="15" t="s">
        <v>96</v>
      </c>
      <c r="I6" s="12">
        <v>2</v>
      </c>
      <c r="J6" s="12">
        <f>150*2</f>
        <v>300</v>
      </c>
      <c r="L6" s="30" t="s">
        <v>125</v>
      </c>
      <c r="M6" s="31">
        <v>17.920000000000002</v>
      </c>
      <c r="N6" s="15" t="s">
        <v>124</v>
      </c>
    </row>
    <row r="7" spans="1:14" x14ac:dyDescent="0.35">
      <c r="A7" s="24" t="s">
        <v>97</v>
      </c>
      <c r="B7" s="15">
        <f>4630</f>
        <v>4630</v>
      </c>
      <c r="E7" s="25" t="s">
        <v>52</v>
      </c>
      <c r="F7" s="26">
        <f>8*5*2*50</f>
        <v>4000</v>
      </c>
      <c r="H7" s="15" t="s">
        <v>98</v>
      </c>
      <c r="I7" s="12">
        <v>4</v>
      </c>
      <c r="J7" s="12">
        <f>200*4</f>
        <v>800</v>
      </c>
      <c r="L7" s="22"/>
      <c r="M7" s="23"/>
    </row>
    <row r="8" spans="1:14" x14ac:dyDescent="0.35">
      <c r="A8" s="24" t="s">
        <v>51</v>
      </c>
      <c r="B8" s="15">
        <f>2520*1+0*1</f>
        <v>2520</v>
      </c>
      <c r="E8" s="30" t="s">
        <v>49</v>
      </c>
      <c r="F8" s="12">
        <f>8*2*50</f>
        <v>800</v>
      </c>
      <c r="H8" s="15" t="s">
        <v>100</v>
      </c>
      <c r="I8" s="12">
        <v>2</v>
      </c>
      <c r="J8" s="12">
        <f>120*2</f>
        <v>240</v>
      </c>
      <c r="L8" s="22"/>
      <c r="M8" s="23"/>
    </row>
    <row r="9" spans="1:14" x14ac:dyDescent="0.35">
      <c r="A9" s="24" t="s">
        <v>52</v>
      </c>
      <c r="B9" s="15">
        <f>6375</f>
        <v>6375</v>
      </c>
      <c r="E9" s="30" t="s">
        <v>84</v>
      </c>
      <c r="F9" s="12">
        <f>8*2*50</f>
        <v>800</v>
      </c>
      <c r="H9" s="15" t="s">
        <v>101</v>
      </c>
      <c r="I9" s="12">
        <v>1</v>
      </c>
      <c r="J9" s="12">
        <v>2500</v>
      </c>
      <c r="L9" s="22"/>
      <c r="M9" s="23"/>
    </row>
    <row r="10" spans="1:14" x14ac:dyDescent="0.35">
      <c r="A10" s="24" t="s">
        <v>50</v>
      </c>
      <c r="B10" s="15">
        <f>850</f>
        <v>850</v>
      </c>
      <c r="E10" s="30" t="s">
        <v>103</v>
      </c>
      <c r="F10" s="12"/>
      <c r="H10" s="15" t="s">
        <v>102</v>
      </c>
      <c r="I10" s="12">
        <v>7</v>
      </c>
      <c r="J10" s="12">
        <f>350+275+350+350+250+600+200</f>
        <v>2375</v>
      </c>
      <c r="L10" s="22"/>
      <c r="M10" s="23"/>
    </row>
    <row r="11" spans="1:14" x14ac:dyDescent="0.35">
      <c r="A11" s="24" t="s">
        <v>47</v>
      </c>
      <c r="B11" s="15"/>
      <c r="E11" s="30" t="s">
        <v>104</v>
      </c>
      <c r="F11" s="12"/>
      <c r="H11" s="15" t="s">
        <v>99</v>
      </c>
      <c r="I11" s="12">
        <v>1</v>
      </c>
      <c r="J11" s="12">
        <v>1000</v>
      </c>
      <c r="L11" s="22"/>
      <c r="M11" s="23"/>
    </row>
    <row r="12" spans="1:14" x14ac:dyDescent="0.35">
      <c r="A12" s="24" t="s">
        <v>103</v>
      </c>
      <c r="B12" s="15">
        <f>(4100+3000)/2</f>
        <v>3550</v>
      </c>
      <c r="E12" s="30" t="s">
        <v>104</v>
      </c>
      <c r="F12" s="12"/>
      <c r="H12" s="15" t="s">
        <v>103</v>
      </c>
      <c r="I12" s="12">
        <v>1</v>
      </c>
      <c r="J12" s="12">
        <v>600</v>
      </c>
      <c r="L12" s="22"/>
      <c r="M12" s="23"/>
    </row>
    <row r="13" spans="1:14" x14ac:dyDescent="0.35">
      <c r="A13" s="24" t="s">
        <v>104</v>
      </c>
      <c r="B13" s="31">
        <f>0</f>
        <v>0</v>
      </c>
      <c r="E13" s="64" t="s">
        <v>105</v>
      </c>
      <c r="F13" s="65"/>
      <c r="H13" s="15" t="s">
        <v>104</v>
      </c>
      <c r="I13" s="12">
        <v>2</v>
      </c>
      <c r="J13" s="12">
        <f>400*2</f>
        <v>800</v>
      </c>
      <c r="L13" s="22"/>
      <c r="M13" s="23"/>
    </row>
    <row r="14" spans="1:14" x14ac:dyDescent="0.35">
      <c r="A14" s="64" t="s">
        <v>106</v>
      </c>
      <c r="B14" s="64"/>
      <c r="H14" s="64" t="s">
        <v>107</v>
      </c>
      <c r="I14" s="64"/>
      <c r="J14" s="64"/>
      <c r="L14" s="22"/>
      <c r="M14" s="23"/>
    </row>
    <row r="15" spans="1:14" x14ac:dyDescent="0.35">
      <c r="L15" s="22"/>
      <c r="M15" s="23"/>
    </row>
  </sheetData>
  <mergeCells count="3">
    <mergeCell ref="E13:F13"/>
    <mergeCell ref="A14:B14"/>
    <mergeCell ref="H14:J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Current state</vt:lpstr>
      <vt:lpstr>Characteristics</vt:lpstr>
    </vt:vector>
  </TitlesOfParts>
  <Manager/>
  <Company>APTIV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Naciri, Mohamed</dc:creator>
  <cp:keywords/>
  <dc:description/>
  <cp:lastModifiedBy>Hafsa Mezzat</cp:lastModifiedBy>
  <cp:revision/>
  <dcterms:created xsi:type="dcterms:W3CDTF">2024-06-14T07:11:55Z</dcterms:created>
  <dcterms:modified xsi:type="dcterms:W3CDTF">2026-06-12T12:01:30Z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edc1c9-378e-46d2-aabb-de5286b8cba1_Enabled">
    <vt:lpwstr>true</vt:lpwstr>
  </property>
  <property fmtid="{D5CDD505-2E9C-101B-9397-08002B2CF9AE}" pid="3" name="MSIP_Label_37edc1c9-378e-46d2-aabb-de5286b8cba1_SetDate">
    <vt:lpwstr>2026-02-27T15:59:21Z</vt:lpwstr>
  </property>
  <property fmtid="{D5CDD505-2E9C-101B-9397-08002B2CF9AE}" pid="4" name="MSIP_Label_37edc1c9-378e-46d2-aabb-de5286b8cba1_Method">
    <vt:lpwstr>Privileged</vt:lpwstr>
  </property>
  <property fmtid="{D5CDD505-2E9C-101B-9397-08002B2CF9AE}" pid="5" name="MSIP_Label_37edc1c9-378e-46d2-aabb-de5286b8cba1_Name">
    <vt:lpwstr>Public</vt:lpwstr>
  </property>
  <property fmtid="{D5CDD505-2E9C-101B-9397-08002B2CF9AE}" pid="6" name="MSIP_Label_37edc1c9-378e-46d2-aabb-de5286b8cba1_SiteId">
    <vt:lpwstr>6b1311e5-123f-49db-acdf-8847c2d00bed</vt:lpwstr>
  </property>
  <property fmtid="{D5CDD505-2E9C-101B-9397-08002B2CF9AE}" pid="7" name="MSIP_Label_37edc1c9-378e-46d2-aabb-de5286b8cba1_ActionId">
    <vt:lpwstr>70a0c72c-9ec4-4376-a3c4-ef1518c6d5b8</vt:lpwstr>
  </property>
  <property fmtid="{D5CDD505-2E9C-101B-9397-08002B2CF9AE}" pid="8" name="MSIP_Label_37edc1c9-378e-46d2-aabb-de5286b8cba1_ContentBits">
    <vt:lpwstr>0</vt:lpwstr>
  </property>
  <property fmtid="{D5CDD505-2E9C-101B-9397-08002B2CF9AE}" pid="9" name="MSIP_Label_37edc1c9-378e-46d2-aabb-de5286b8cba1_Tag">
    <vt:lpwstr>10, 0, 1, 2</vt:lpwstr>
  </property>
</Properties>
</file>