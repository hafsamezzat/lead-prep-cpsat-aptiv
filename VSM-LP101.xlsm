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VRS FIN\"/>
    </mc:Choice>
  </mc:AlternateContent>
  <xr:revisionPtr revIDLastSave="0" documentId="13_ncr:1_{3F5B1306-D6D3-433B-86D6-FBB2646A053E}" xr6:coauthVersionLast="47" xr6:coauthVersionMax="47" xr10:uidLastSave="{00000000-0000-0000-0000-000000000000}"/>
  <bookViews>
    <workbookView xWindow="-108" yWindow="-108" windowWidth="23256" windowHeight="12456" xr2:uid="{C83DA519-2683-410D-A185-7DF0C6F26230}"/>
  </bookViews>
  <sheets>
    <sheet name="Current state" sheetId="1" r:id="rId1"/>
    <sheet name="Characteristics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5" l="1"/>
  <c r="J13" i="5"/>
  <c r="B13" i="5"/>
  <c r="B12" i="5"/>
  <c r="J10" i="5"/>
  <c r="B10" i="5"/>
  <c r="F9" i="5"/>
  <c r="B9" i="5"/>
  <c r="J8" i="5"/>
  <c r="F8" i="5"/>
  <c r="B8" i="5"/>
  <c r="J7" i="5"/>
  <c r="F7" i="5"/>
  <c r="B7" i="5"/>
  <c r="J6" i="5"/>
  <c r="F6" i="5"/>
  <c r="B6" i="5"/>
  <c r="J5" i="5"/>
  <c r="F5" i="5"/>
  <c r="B5" i="5"/>
  <c r="J4" i="5"/>
  <c r="F4" i="5"/>
  <c r="B4" i="5"/>
  <c r="F3" i="5"/>
  <c r="F2" i="5"/>
  <c r="B2" i="5"/>
</calcChain>
</file>

<file path=xl/sharedStrings.xml><?xml version="1.0" encoding="utf-8"?>
<sst xmlns="http://schemas.openxmlformats.org/spreadsheetml/2006/main" count="312" uniqueCount="131">
  <si>
    <t xml:space="preserve">VALUE STREAME MAP </t>
  </si>
  <si>
    <t>Process name :</t>
  </si>
  <si>
    <t xml:space="preserve">        Lead Prep</t>
  </si>
  <si>
    <t xml:space="preserve">VSM tools and econs </t>
  </si>
  <si>
    <t>Electronic info flow</t>
  </si>
  <si>
    <t xml:space="preserve">Finished goods arrow </t>
  </si>
  <si>
    <t>Curent state Data Box</t>
  </si>
  <si>
    <t>Futur state Data Box</t>
  </si>
  <si>
    <t>Data Box</t>
  </si>
  <si>
    <t>Rework activity</t>
  </si>
  <si>
    <t>Process box</t>
  </si>
  <si>
    <t xml:space="preserve">Multiple machine </t>
  </si>
  <si>
    <t>Shared Resource</t>
  </si>
  <si>
    <t xml:space="preserve">Poroduction control </t>
  </si>
  <si>
    <t xml:space="preserve">Pull </t>
  </si>
  <si>
    <t>Work Cell</t>
  </si>
  <si>
    <t>Truck</t>
  </si>
  <si>
    <t>Supermarket (kanban)</t>
  </si>
  <si>
    <t>FIFO</t>
  </si>
  <si>
    <t>Buffer or Safety Stock</t>
  </si>
  <si>
    <t>Conveyer</t>
  </si>
  <si>
    <t>Pitch</t>
  </si>
  <si>
    <t>Forklift</t>
  </si>
  <si>
    <t>Tugger</t>
  </si>
  <si>
    <t xml:space="preserve">Email </t>
  </si>
  <si>
    <t>Fax</t>
  </si>
  <si>
    <t>Information box</t>
  </si>
  <si>
    <t>Withdrawal Kanban</t>
  </si>
  <si>
    <t xml:space="preserve">Production kanban in batch </t>
  </si>
  <si>
    <t>Withdrawal Kanban in batch</t>
  </si>
  <si>
    <t xml:space="preserve">Production Kanban </t>
  </si>
  <si>
    <t>Signal Kanban</t>
  </si>
  <si>
    <t>Load Leveling Box</t>
  </si>
  <si>
    <t>Sequence List</t>
  </si>
  <si>
    <t xml:space="preserve">Sequence Pull Ball </t>
  </si>
  <si>
    <t>Kanban Post</t>
  </si>
  <si>
    <t>Go see schedule</t>
  </si>
  <si>
    <t>Kaizen Burst</t>
  </si>
  <si>
    <t xml:space="preserve">Inventory </t>
  </si>
  <si>
    <t>CT</t>
  </si>
  <si>
    <t>PT</t>
  </si>
  <si>
    <t>CO</t>
  </si>
  <si>
    <t>UT</t>
  </si>
  <si>
    <t>Qlty</t>
  </si>
  <si>
    <t>00:00:00:00</t>
  </si>
  <si>
    <t>CONTENTION</t>
  </si>
  <si>
    <t>RAYCHEM</t>
  </si>
  <si>
    <t>HANK</t>
  </si>
  <si>
    <t>PASSE-FIL</t>
  </si>
  <si>
    <t>KAPPA</t>
  </si>
  <si>
    <t>SEAL INSERTION</t>
  </si>
  <si>
    <t>DENIFER</t>
  </si>
  <si>
    <t>00:02:34:90</t>
  </si>
  <si>
    <t xml:space="preserve">Machines     </t>
  </si>
  <si>
    <t xml:space="preserve">REAL Produced wires / 1 shift </t>
  </si>
  <si>
    <t>Machines</t>
  </si>
  <si>
    <t>WIP (wires)</t>
  </si>
  <si>
    <t xml:space="preserve">Machine </t>
  </si>
  <si>
    <t xml:space="preserve">Nbre de machines </t>
  </si>
  <si>
    <t>wires/ hour</t>
  </si>
  <si>
    <t xml:space="preserve">Plant properties </t>
  </si>
  <si>
    <t>Values</t>
  </si>
  <si>
    <t>units</t>
  </si>
  <si>
    <t xml:space="preserve">HANK  </t>
  </si>
  <si>
    <t xml:space="preserve">Kappa </t>
  </si>
  <si>
    <t>Shifts number</t>
  </si>
  <si>
    <t>MECAL</t>
  </si>
  <si>
    <t>ELOPAR</t>
  </si>
  <si>
    <t xml:space="preserve">Komax 560 </t>
  </si>
  <si>
    <t>Working hours / 1 shift</t>
  </si>
  <si>
    <t>(h)</t>
  </si>
  <si>
    <t xml:space="preserve">ELOPAR </t>
  </si>
  <si>
    <t>Elopar</t>
  </si>
  <si>
    <t>Working days / week</t>
  </si>
  <si>
    <t xml:space="preserve">(days) </t>
  </si>
  <si>
    <t>Raychem / Micalbi</t>
  </si>
  <si>
    <t xml:space="preserve">demand </t>
  </si>
  <si>
    <t>(cables/ semaine)</t>
  </si>
  <si>
    <t>Dinefer</t>
  </si>
  <si>
    <t>KOMAX 560</t>
  </si>
  <si>
    <t>Hanke</t>
  </si>
  <si>
    <t>Seal insertion</t>
  </si>
  <si>
    <t>Passe - fil</t>
  </si>
  <si>
    <t xml:space="preserve">Contention </t>
  </si>
  <si>
    <t>Mecal (excluding R)</t>
  </si>
  <si>
    <t>BT 722</t>
  </si>
  <si>
    <t>BT 752</t>
  </si>
  <si>
    <t xml:space="preserve">  average pagode capacity (1 aval /0 amont)</t>
  </si>
  <si>
    <t xml:space="preserve">Filled reports by operators / 1 shift </t>
  </si>
  <si>
    <t xml:space="preserve">poste characteristics </t>
  </si>
  <si>
    <t>NVA</t>
  </si>
  <si>
    <t>VA</t>
  </si>
  <si>
    <t>POURCENTAGE (%) OF WAISTED TIME</t>
  </si>
  <si>
    <t>00:00:10  =  10,97 sec/pce</t>
  </si>
  <si>
    <t>00:00:10:96  =  10,97 sec/pce</t>
  </si>
  <si>
    <t>100,00 %</t>
  </si>
  <si>
    <t>00:00:04  =  4,19 sec/pce</t>
  </si>
  <si>
    <t>00:00:04:18  =  4,19 sec/pce</t>
  </si>
  <si>
    <t>00:00:04  =  4,26 sec/pce</t>
  </si>
  <si>
    <t>00:00:04:26  =  4,26 sec/pce</t>
  </si>
  <si>
    <t>00:00:08  =  8,54 sec/pce</t>
  </si>
  <si>
    <t>00:00:08:54  =  8,54 sec/pce</t>
  </si>
  <si>
    <t>00:00:04  =  4,95 sec/pce</t>
  </si>
  <si>
    <t>00:00:04:95  =  4,95 sec/pce</t>
  </si>
  <si>
    <t>00:09:37:54</t>
  </si>
  <si>
    <t>00:00:02  =  2,62 sec/pce</t>
  </si>
  <si>
    <t>00:00:02:61  =  2,62 sec/pce</t>
  </si>
  <si>
    <t>00:00:16  =  16,11 sec/pce</t>
  </si>
  <si>
    <t>00:00:16:10  =  16,11 sec/pce</t>
  </si>
  <si>
    <t>00:00:14  =  14,49 sec/pce</t>
  </si>
  <si>
    <t>00:00:14:48  =  14,49 sec/pce</t>
  </si>
  <si>
    <t>labour cost</t>
  </si>
  <si>
    <t>(DH/h)</t>
  </si>
  <si>
    <t>00:00:13  =  13,51 sec/pce</t>
  </si>
  <si>
    <t>00:00:13:51  =  13,51 sec/pce</t>
  </si>
  <si>
    <t>00:00:03:39</t>
  </si>
  <si>
    <t>00:00:01  =  1,77 sec/pce</t>
  </si>
  <si>
    <t>00:00:01:77  =  1,77 sec/pce</t>
  </si>
  <si>
    <t>99,60 %</t>
  </si>
  <si>
    <t>00:13:49:00</t>
  </si>
  <si>
    <t>112700,00 s</t>
  </si>
  <si>
    <t>81,47 s</t>
  </si>
  <si>
    <t>99,93 %</t>
  </si>
  <si>
    <t>Mecal</t>
  </si>
  <si>
    <t>Contention</t>
  </si>
  <si>
    <t>86912,00 s</t>
  </si>
  <si>
    <t>33,25 s</t>
  </si>
  <si>
    <t>99,96 %</t>
  </si>
  <si>
    <t>76912,00 s</t>
  </si>
  <si>
    <t>29,66 s</t>
  </si>
  <si>
    <t>POURCENTAGE (%) OF NVA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</si>
</sst>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i/>
      <sz val="36"/>
      <color theme="0" tint="-4.9989318521683403E-2"/>
      <name val="Abadi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</font>
    <font>
      <sz val="10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36"/>
      <color rgb="FF000000"/>
      <name val="Calibri"/>
      <family val="2"/>
      <scheme val="minor"/>
    </font>
    <font>
      <b/>
      <sz val="20"/>
      <color theme="0" tint="-4.9989318521683403E-2"/>
      <name val="Times New Roman"/>
      <family val="1"/>
    </font>
    <font>
      <b/>
      <sz val="22"/>
      <color theme="1"/>
      <name val="Times New Roman"/>
      <family val="1"/>
    </font>
    <font>
      <sz val="10"/>
      <color rgb="FF000000"/>
      <name val="Times New Roman"/>
      <family val="1"/>
    </font>
    <font>
      <b/>
      <sz val="48"/>
      <color theme="1"/>
      <name val="Times New Roman"/>
      <family val="1"/>
    </font>
    <font>
      <sz val="48"/>
      <color theme="1"/>
      <name val="Times New Roman"/>
      <family val="1"/>
    </font>
    <font>
      <b/>
      <sz val="48"/>
      <color rgb="FF000000"/>
      <name val="Times New Roman"/>
      <family val="1"/>
    </font>
    <font>
      <sz val="48"/>
      <color rgb="FF00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D0000"/>
        <bgColor indexed="64"/>
      </patternFill>
    </fill>
    <fill>
      <patternFill patternType="solid">
        <fgColor theme="8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/>
    <xf numFmtId="0" fontId="5" fillId="3" borderId="0" xfId="0" applyFont="1" applyFill="1"/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6" fillId="5" borderId="2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3" xfId="0" applyBorder="1"/>
    <xf numFmtId="0" fontId="6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6" fillId="0" borderId="1" xfId="0" applyFont="1" applyBorder="1"/>
    <xf numFmtId="0" fontId="1" fillId="6" borderId="1" xfId="0" applyFont="1" applyFill="1" applyBorder="1" applyAlignment="1">
      <alignment horizontal="left" vertical="top"/>
    </xf>
    <xf numFmtId="0" fontId="0" fillId="6" borderId="1" xfId="0" applyFill="1" applyBorder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0" fillId="9" borderId="0" xfId="0" applyFill="1"/>
    <xf numFmtId="0" fontId="1" fillId="9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11" fillId="4" borderId="0" xfId="0" applyFont="1" applyFill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10" fontId="10" fillId="4" borderId="0" xfId="0" applyNumberFormat="1" applyFont="1" applyFill="1" applyAlignment="1">
      <alignment horizontal="center" vertical="center" wrapText="1"/>
    </xf>
    <xf numFmtId="0" fontId="10" fillId="4" borderId="0" xfId="0" applyFont="1" applyFill="1" applyAlignment="1">
      <alignment vertical="center"/>
    </xf>
    <xf numFmtId="0" fontId="14" fillId="4" borderId="0" xfId="0" applyFont="1" applyFill="1" applyAlignment="1">
      <alignment horizontal="center" vertical="center"/>
    </xf>
    <xf numFmtId="2" fontId="12" fillId="4" borderId="0" xfId="0" applyNumberFormat="1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2" fontId="12" fillId="4" borderId="0" xfId="0" applyNumberFormat="1" applyFont="1" applyFill="1" applyAlignment="1">
      <alignment horizontal="center" vertical="top"/>
    </xf>
    <xf numFmtId="0" fontId="8" fillId="4" borderId="0" xfId="0" applyFont="1" applyFill="1" applyAlignment="1">
      <alignment horizontal="center" vertical="top"/>
    </xf>
    <xf numFmtId="0" fontId="10" fillId="4" borderId="0" xfId="0" applyFont="1" applyFill="1" applyAlignment="1">
      <alignment horizontal="center" vertical="top"/>
    </xf>
    <xf numFmtId="0" fontId="13" fillId="3" borderId="0" xfId="0" applyFont="1" applyFill="1"/>
    <xf numFmtId="0" fontId="2" fillId="3" borderId="0" xfId="0" applyFont="1" applyFill="1"/>
    <xf numFmtId="0" fontId="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NumberFormat="1" applyFont="1" applyFill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Border="1" applyAlignment="1">
      <alignment vertical="center"/>
    </xf>
    <xf numFmtId="0" fontId="8" fillId="0" borderId="8" xfId="0" applyNumberFormat="1" applyFont="1" applyFill="1" applyBorder="1" applyAlignment="1">
      <alignment vertical="center"/>
    </xf>
    <xf numFmtId="0" fontId="10" fillId="0" borderId="8" xfId="0" applyNumberFormat="1" applyFont="1" applyFill="1" applyBorder="1" applyAlignment="1">
      <alignment vertical="center"/>
    </xf>
    <xf numFmtId="0" fontId="10" fillId="0" borderId="6" xfId="0" applyNumberFormat="1" applyFont="1" applyFill="1" applyBorder="1" applyAlignment="1">
      <alignment vertical="center"/>
    </xf>
    <xf numFmtId="0" fontId="8" fillId="0" borderId="16" xfId="0" applyNumberFormat="1" applyFont="1" applyFill="1" applyBorder="1" applyAlignment="1">
      <alignment vertical="center"/>
    </xf>
    <xf numFmtId="0" fontId="8" fillId="0" borderId="6" xfId="0" applyNumberFormat="1" applyFont="1" applyFill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/>
    <xf numFmtId="0" fontId="16" fillId="10" borderId="1" xfId="0" applyFont="1" applyFill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18" fillId="0" borderId="11" xfId="0" applyNumberFormat="1" applyFont="1" applyFill="1" applyBorder="1" applyAlignment="1">
      <alignment horizontal="center" vertical="center" wrapText="1"/>
    </xf>
    <xf numFmtId="0" fontId="18" fillId="0" borderId="10" xfId="0" applyNumberFormat="1" applyFont="1" applyFill="1" applyBorder="1" applyAlignment="1">
      <alignment horizontal="center" vertical="center" wrapText="1"/>
    </xf>
    <xf numFmtId="0" fontId="18" fillId="0" borderId="13" xfId="0" applyNumberFormat="1" applyFont="1" applyFill="1" applyBorder="1" applyAlignment="1">
      <alignment horizontal="center" vertical="center" wrapText="1"/>
    </xf>
    <xf numFmtId="0" fontId="18" fillId="0" borderId="15" xfId="0" applyNumberFormat="1" applyFont="1" applyFill="1" applyBorder="1" applyAlignment="1">
      <alignment horizontal="center" vertical="center" wrapText="1"/>
    </xf>
    <xf numFmtId="0" fontId="18" fillId="0" borderId="14" xfId="0" applyNumberFormat="1" applyFont="1" applyFill="1" applyBorder="1" applyAlignment="1">
      <alignment horizontal="center" vertical="center" wrapText="1"/>
    </xf>
    <xf numFmtId="0" fontId="18" fillId="0" borderId="12" xfId="0" applyNumberFormat="1" applyFont="1" applyFill="1" applyBorder="1" applyAlignment="1">
      <alignment horizontal="center" vertical="center" wrapText="1"/>
    </xf>
    <xf numFmtId="2" fontId="18" fillId="0" borderId="9" xfId="0" applyNumberFormat="1" applyFont="1" applyFill="1" applyBorder="1" applyAlignment="1">
      <alignment horizontal="center"/>
    </xf>
    <xf numFmtId="0" fontId="19" fillId="0" borderId="7" xfId="0" applyNumberFormat="1" applyFont="1" applyFill="1" applyBorder="1" applyAlignment="1">
      <alignment horizontal="center"/>
    </xf>
    <xf numFmtId="2" fontId="18" fillId="0" borderId="6" xfId="0" applyNumberFormat="1" applyFont="1" applyFill="1" applyBorder="1" applyAlignment="1">
      <alignment horizontal="center" vertical="top"/>
    </xf>
    <xf numFmtId="0" fontId="19" fillId="0" borderId="0" xfId="0" applyNumberFormat="1" applyFont="1" applyFill="1" applyBorder="1" applyAlignment="1">
      <alignment horizontal="center" vertical="top"/>
    </xf>
    <xf numFmtId="0" fontId="16" fillId="0" borderId="1" xfId="0" applyFont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9" fillId="0" borderId="6" xfId="0" applyNumberFormat="1" applyFont="1" applyFill="1" applyBorder="1" applyAlignment="1">
      <alignment horizontal="center" vertical="top"/>
    </xf>
    <xf numFmtId="0" fontId="19" fillId="0" borderId="6" xfId="0" applyNumberFormat="1" applyFont="1" applyFill="1" applyBorder="1" applyAlignment="1">
      <alignment horizontal="center"/>
    </xf>
    <xf numFmtId="2" fontId="18" fillId="0" borderId="0" xfId="0" applyNumberFormat="1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sv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504093</xdr:colOff>
      <xdr:row>148</xdr:row>
      <xdr:rowOff>254000</xdr:rowOff>
    </xdr:from>
    <xdr:to>
      <xdr:col>27</xdr:col>
      <xdr:colOff>635001</xdr:colOff>
      <xdr:row>154</xdr:row>
      <xdr:rowOff>328247</xdr:rowOff>
    </xdr:to>
    <xdr:grpSp>
      <xdr:nvGrpSpPr>
        <xdr:cNvPr id="1403" name="Groupe 1402">
          <a:extLst>
            <a:ext uri="{FF2B5EF4-FFF2-40B4-BE49-F238E27FC236}">
              <a16:creationId xmlns:a16="http://schemas.microsoft.com/office/drawing/2014/main" id="{466AA471-4A1D-4C7C-9CC4-7766CE71EE78}"/>
            </a:ext>
          </a:extLst>
        </xdr:cNvPr>
        <xdr:cNvGrpSpPr/>
      </xdr:nvGrpSpPr>
      <xdr:grpSpPr>
        <a:xfrm>
          <a:off x="75484893" y="86512400"/>
          <a:ext cx="5541108" cy="3884247"/>
          <a:chOff x="55467048" y="12967956"/>
          <a:chExt cx="4536471" cy="3835121"/>
        </a:xfrm>
      </xdr:grpSpPr>
      <xdr:grpSp>
        <xdr:nvGrpSpPr>
          <xdr:cNvPr id="1404" name="Group 665">
            <a:extLst>
              <a:ext uri="{FF2B5EF4-FFF2-40B4-BE49-F238E27FC236}">
                <a16:creationId xmlns:a16="http://schemas.microsoft.com/office/drawing/2014/main" id="{61495429-ED37-3438-BA2C-D8AA1DD3DE4B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1421" name="Arrow: Right 666">
              <a:extLst>
                <a:ext uri="{FF2B5EF4-FFF2-40B4-BE49-F238E27FC236}">
                  <a16:creationId xmlns:a16="http://schemas.microsoft.com/office/drawing/2014/main" id="{852A6792-5A14-4354-4917-CFDBA811BF17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422" name="Group 667">
              <a:extLst>
                <a:ext uri="{FF2B5EF4-FFF2-40B4-BE49-F238E27FC236}">
                  <a16:creationId xmlns:a16="http://schemas.microsoft.com/office/drawing/2014/main" id="{0913BA98-7CC1-AC81-BF13-AAE3ADF58693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1423" name="Rectangle 1422">
                <a:extLst>
                  <a:ext uri="{FF2B5EF4-FFF2-40B4-BE49-F238E27FC236}">
                    <a16:creationId xmlns:a16="http://schemas.microsoft.com/office/drawing/2014/main" id="{3C730A0A-F1D0-A167-BF4B-5E0057F076B1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24" name="Rectangle 1423">
                <a:extLst>
                  <a:ext uri="{FF2B5EF4-FFF2-40B4-BE49-F238E27FC236}">
                    <a16:creationId xmlns:a16="http://schemas.microsoft.com/office/drawing/2014/main" id="{F29DCE28-B089-F522-4568-4620D03597B3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25" name="Rectangle 1424">
                <a:extLst>
                  <a:ext uri="{FF2B5EF4-FFF2-40B4-BE49-F238E27FC236}">
                    <a16:creationId xmlns:a16="http://schemas.microsoft.com/office/drawing/2014/main" id="{7CBAB68F-43D4-FCDB-6425-23442B394740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26" name="Isosceles Triangle 674">
                <a:extLst>
                  <a:ext uri="{FF2B5EF4-FFF2-40B4-BE49-F238E27FC236}">
                    <a16:creationId xmlns:a16="http://schemas.microsoft.com/office/drawing/2014/main" id="{F01C31F5-312C-E470-58EF-4A9C330342FC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1405" name="Group 89">
            <a:extLst>
              <a:ext uri="{FF2B5EF4-FFF2-40B4-BE49-F238E27FC236}">
                <a16:creationId xmlns:a16="http://schemas.microsoft.com/office/drawing/2014/main" id="{C8C75A81-EAC7-86CE-8ACF-FA1AA0158B2D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1417" name="Rectangle 1416">
              <a:extLst>
                <a:ext uri="{FF2B5EF4-FFF2-40B4-BE49-F238E27FC236}">
                  <a16:creationId xmlns:a16="http://schemas.microsoft.com/office/drawing/2014/main" id="{9FB91398-AF44-9C1C-69B6-8276DCE578B5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1418" name="Straight Connector 92">
              <a:extLst>
                <a:ext uri="{FF2B5EF4-FFF2-40B4-BE49-F238E27FC236}">
                  <a16:creationId xmlns:a16="http://schemas.microsoft.com/office/drawing/2014/main" id="{6188E19D-6E48-D08C-F839-652D10CAFBD1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419" name="Isosceles Triangle 103">
              <a:extLst>
                <a:ext uri="{FF2B5EF4-FFF2-40B4-BE49-F238E27FC236}">
                  <a16:creationId xmlns:a16="http://schemas.microsoft.com/office/drawing/2014/main" id="{CB6AEE19-E97A-E2F1-5452-A8C9C1F570B8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420" name="Rectangle 1419">
              <a:extLst>
                <a:ext uri="{FF2B5EF4-FFF2-40B4-BE49-F238E27FC236}">
                  <a16:creationId xmlns:a16="http://schemas.microsoft.com/office/drawing/2014/main" id="{1B21880C-7807-6C43-D38F-42DF37CEB174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1406" name="Group 224">
            <a:extLst>
              <a:ext uri="{FF2B5EF4-FFF2-40B4-BE49-F238E27FC236}">
                <a16:creationId xmlns:a16="http://schemas.microsoft.com/office/drawing/2014/main" id="{407E4CC4-C34D-AA96-DD68-078B15CB2EFA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1410" name="Rectangle 1409">
              <a:extLst>
                <a:ext uri="{FF2B5EF4-FFF2-40B4-BE49-F238E27FC236}">
                  <a16:creationId xmlns:a16="http://schemas.microsoft.com/office/drawing/2014/main" id="{4AE37912-034B-3F00-2818-50A75CE6E0EA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411" name="Group 212">
              <a:extLst>
                <a:ext uri="{FF2B5EF4-FFF2-40B4-BE49-F238E27FC236}">
                  <a16:creationId xmlns:a16="http://schemas.microsoft.com/office/drawing/2014/main" id="{B73DFBC9-BC8D-D625-A380-8E30C4E2E94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1412" name="Line 11">
                <a:extLst>
                  <a:ext uri="{FF2B5EF4-FFF2-40B4-BE49-F238E27FC236}">
                    <a16:creationId xmlns:a16="http://schemas.microsoft.com/office/drawing/2014/main" id="{1B58DD0C-EFFB-C61E-276F-6C7F163355D7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413" name="Line 12">
                <a:extLst>
                  <a:ext uri="{FF2B5EF4-FFF2-40B4-BE49-F238E27FC236}">
                    <a16:creationId xmlns:a16="http://schemas.microsoft.com/office/drawing/2014/main" id="{F7832003-71E9-B60D-6A04-3DCAFF6EA1A8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414" name="Line 13">
                <a:extLst>
                  <a:ext uri="{FF2B5EF4-FFF2-40B4-BE49-F238E27FC236}">
                    <a16:creationId xmlns:a16="http://schemas.microsoft.com/office/drawing/2014/main" id="{2BF0895E-B11C-92CB-6191-7716ABA6C45D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415" name="Line 14">
                <a:extLst>
                  <a:ext uri="{FF2B5EF4-FFF2-40B4-BE49-F238E27FC236}">
                    <a16:creationId xmlns:a16="http://schemas.microsoft.com/office/drawing/2014/main" id="{D3758582-6803-551D-4FD0-FDC9B911516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416" name="Line 15">
                <a:extLst>
                  <a:ext uri="{FF2B5EF4-FFF2-40B4-BE49-F238E27FC236}">
                    <a16:creationId xmlns:a16="http://schemas.microsoft.com/office/drawing/2014/main" id="{68A0C9FF-37DC-03DB-61E9-234958644189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1407" name="Group 206">
            <a:extLst>
              <a:ext uri="{FF2B5EF4-FFF2-40B4-BE49-F238E27FC236}">
                <a16:creationId xmlns:a16="http://schemas.microsoft.com/office/drawing/2014/main" id="{3C4E2987-B6E8-B5A8-0642-C50B60E1121F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1408" name="Rectangle 1407">
              <a:extLst>
                <a:ext uri="{FF2B5EF4-FFF2-40B4-BE49-F238E27FC236}">
                  <a16:creationId xmlns:a16="http://schemas.microsoft.com/office/drawing/2014/main" id="{72999226-7B77-7A73-E19D-644DE328C2CA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409" name="Arc 26">
              <a:extLst>
                <a:ext uri="{FF2B5EF4-FFF2-40B4-BE49-F238E27FC236}">
                  <a16:creationId xmlns:a16="http://schemas.microsoft.com/office/drawing/2014/main" id="{FEAE3A53-2C0C-00F8-EC82-AA29BA28593C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21</xdr:col>
      <xdr:colOff>0</xdr:colOff>
      <xdr:row>151</xdr:row>
      <xdr:rowOff>0</xdr:rowOff>
    </xdr:from>
    <xdr:to>
      <xdr:col>23</xdr:col>
      <xdr:colOff>0</xdr:colOff>
      <xdr:row>155</xdr:row>
      <xdr:rowOff>410308</xdr:rowOff>
    </xdr:to>
    <xdr:grpSp>
      <xdr:nvGrpSpPr>
        <xdr:cNvPr id="1379" name="Groupe 1378">
          <a:extLst>
            <a:ext uri="{FF2B5EF4-FFF2-40B4-BE49-F238E27FC236}">
              <a16:creationId xmlns:a16="http://schemas.microsoft.com/office/drawing/2014/main" id="{E84EAC8E-9255-4848-A465-AB1875213D5F}"/>
            </a:ext>
          </a:extLst>
        </xdr:cNvPr>
        <xdr:cNvGrpSpPr/>
      </xdr:nvGrpSpPr>
      <xdr:grpSpPr>
        <a:xfrm>
          <a:off x="52959000" y="87630000"/>
          <a:ext cx="5105400" cy="3305908"/>
          <a:chOff x="55467048" y="12967956"/>
          <a:chExt cx="4536471" cy="3835121"/>
        </a:xfrm>
      </xdr:grpSpPr>
      <xdr:grpSp>
        <xdr:nvGrpSpPr>
          <xdr:cNvPr id="1380" name="Group 665">
            <a:extLst>
              <a:ext uri="{FF2B5EF4-FFF2-40B4-BE49-F238E27FC236}">
                <a16:creationId xmlns:a16="http://schemas.microsoft.com/office/drawing/2014/main" id="{C29C4362-A3FE-6807-4ABE-37C1B3799183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1397" name="Arrow: Right 666">
              <a:extLst>
                <a:ext uri="{FF2B5EF4-FFF2-40B4-BE49-F238E27FC236}">
                  <a16:creationId xmlns:a16="http://schemas.microsoft.com/office/drawing/2014/main" id="{7E27CA98-8F97-47FE-993B-52BB9C756BCE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398" name="Group 667">
              <a:extLst>
                <a:ext uri="{FF2B5EF4-FFF2-40B4-BE49-F238E27FC236}">
                  <a16:creationId xmlns:a16="http://schemas.microsoft.com/office/drawing/2014/main" id="{28D5A4B3-9BE2-A987-5A11-94FD0223EEC9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1399" name="Rectangle 1398">
                <a:extLst>
                  <a:ext uri="{FF2B5EF4-FFF2-40B4-BE49-F238E27FC236}">
                    <a16:creationId xmlns:a16="http://schemas.microsoft.com/office/drawing/2014/main" id="{B4A4C123-A6C1-4E20-7CA1-5522BC8B1178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00" name="Rectangle 1399">
                <a:extLst>
                  <a:ext uri="{FF2B5EF4-FFF2-40B4-BE49-F238E27FC236}">
                    <a16:creationId xmlns:a16="http://schemas.microsoft.com/office/drawing/2014/main" id="{7BCF1147-9449-EA3C-CB06-089A7A58554D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01" name="Rectangle 1400">
                <a:extLst>
                  <a:ext uri="{FF2B5EF4-FFF2-40B4-BE49-F238E27FC236}">
                    <a16:creationId xmlns:a16="http://schemas.microsoft.com/office/drawing/2014/main" id="{38E81F49-0C4A-C4F2-C113-4014E3CB9DD9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02" name="Isosceles Triangle 674">
                <a:extLst>
                  <a:ext uri="{FF2B5EF4-FFF2-40B4-BE49-F238E27FC236}">
                    <a16:creationId xmlns:a16="http://schemas.microsoft.com/office/drawing/2014/main" id="{8CED11DF-68A5-F285-6385-26A3C72ECBB9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1381" name="Group 89">
            <a:extLst>
              <a:ext uri="{FF2B5EF4-FFF2-40B4-BE49-F238E27FC236}">
                <a16:creationId xmlns:a16="http://schemas.microsoft.com/office/drawing/2014/main" id="{86AFCD1A-F838-AB4C-6E26-6CAC9486D642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1393" name="Rectangle 1392">
              <a:extLst>
                <a:ext uri="{FF2B5EF4-FFF2-40B4-BE49-F238E27FC236}">
                  <a16:creationId xmlns:a16="http://schemas.microsoft.com/office/drawing/2014/main" id="{3304CE6F-7819-32BE-598F-5CC1B0BC1BFB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1394" name="Straight Connector 92">
              <a:extLst>
                <a:ext uri="{FF2B5EF4-FFF2-40B4-BE49-F238E27FC236}">
                  <a16:creationId xmlns:a16="http://schemas.microsoft.com/office/drawing/2014/main" id="{E8E4D8A1-3894-BB84-A811-47ED337CA66B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95" name="Isosceles Triangle 103">
              <a:extLst>
                <a:ext uri="{FF2B5EF4-FFF2-40B4-BE49-F238E27FC236}">
                  <a16:creationId xmlns:a16="http://schemas.microsoft.com/office/drawing/2014/main" id="{F1AFF5DB-C2E0-F8C8-8A89-213A4625ED2E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96" name="Rectangle 1395">
              <a:extLst>
                <a:ext uri="{FF2B5EF4-FFF2-40B4-BE49-F238E27FC236}">
                  <a16:creationId xmlns:a16="http://schemas.microsoft.com/office/drawing/2014/main" id="{5560BC47-265B-E8AB-E553-1460256EE146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1382" name="Group 224">
            <a:extLst>
              <a:ext uri="{FF2B5EF4-FFF2-40B4-BE49-F238E27FC236}">
                <a16:creationId xmlns:a16="http://schemas.microsoft.com/office/drawing/2014/main" id="{B868D64D-FCD0-794D-7477-C360AC0E91C2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1386" name="Rectangle 1385">
              <a:extLst>
                <a:ext uri="{FF2B5EF4-FFF2-40B4-BE49-F238E27FC236}">
                  <a16:creationId xmlns:a16="http://schemas.microsoft.com/office/drawing/2014/main" id="{821C3034-A978-6117-6F32-6952B268633C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387" name="Group 212">
              <a:extLst>
                <a:ext uri="{FF2B5EF4-FFF2-40B4-BE49-F238E27FC236}">
                  <a16:creationId xmlns:a16="http://schemas.microsoft.com/office/drawing/2014/main" id="{D63443E1-4365-89DA-3FAE-05C1C85D611F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1388" name="Line 11">
                <a:extLst>
                  <a:ext uri="{FF2B5EF4-FFF2-40B4-BE49-F238E27FC236}">
                    <a16:creationId xmlns:a16="http://schemas.microsoft.com/office/drawing/2014/main" id="{033FB759-D03B-3424-1D29-95EFF9D96147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89" name="Line 12">
                <a:extLst>
                  <a:ext uri="{FF2B5EF4-FFF2-40B4-BE49-F238E27FC236}">
                    <a16:creationId xmlns:a16="http://schemas.microsoft.com/office/drawing/2014/main" id="{5E01FB78-87E6-5732-AEED-2D0C7205954F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90" name="Line 13">
                <a:extLst>
                  <a:ext uri="{FF2B5EF4-FFF2-40B4-BE49-F238E27FC236}">
                    <a16:creationId xmlns:a16="http://schemas.microsoft.com/office/drawing/2014/main" id="{C2CE4AAC-E840-09BE-6993-3D729A50AC7A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91" name="Line 14">
                <a:extLst>
                  <a:ext uri="{FF2B5EF4-FFF2-40B4-BE49-F238E27FC236}">
                    <a16:creationId xmlns:a16="http://schemas.microsoft.com/office/drawing/2014/main" id="{C3E4B381-254B-4E70-B11D-F1F46613A8CA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92" name="Line 15">
                <a:extLst>
                  <a:ext uri="{FF2B5EF4-FFF2-40B4-BE49-F238E27FC236}">
                    <a16:creationId xmlns:a16="http://schemas.microsoft.com/office/drawing/2014/main" id="{3D85A6DC-4D66-68BA-F582-E4183D4B0749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1383" name="Group 206">
            <a:extLst>
              <a:ext uri="{FF2B5EF4-FFF2-40B4-BE49-F238E27FC236}">
                <a16:creationId xmlns:a16="http://schemas.microsoft.com/office/drawing/2014/main" id="{55022D2B-E0F3-6F5E-467A-CDFACA0A35AF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1384" name="Rectangle 1383">
              <a:extLst>
                <a:ext uri="{FF2B5EF4-FFF2-40B4-BE49-F238E27FC236}">
                  <a16:creationId xmlns:a16="http://schemas.microsoft.com/office/drawing/2014/main" id="{E1C6F437-93F1-C90D-F689-38FDD10A0763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85" name="Arc 26">
              <a:extLst>
                <a:ext uri="{FF2B5EF4-FFF2-40B4-BE49-F238E27FC236}">
                  <a16:creationId xmlns:a16="http://schemas.microsoft.com/office/drawing/2014/main" id="{8FFC06DB-467A-40E6-24C8-E9D3CD2B39B7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29</xdr:col>
      <xdr:colOff>117231</xdr:colOff>
      <xdr:row>93</xdr:row>
      <xdr:rowOff>293077</xdr:rowOff>
    </xdr:from>
    <xdr:to>
      <xdr:col>31</xdr:col>
      <xdr:colOff>527533</xdr:colOff>
      <xdr:row>99</xdr:row>
      <xdr:rowOff>259582</xdr:rowOff>
    </xdr:to>
    <xdr:grpSp>
      <xdr:nvGrpSpPr>
        <xdr:cNvPr id="1355" name="Groupe 1354">
          <a:extLst>
            <a:ext uri="{FF2B5EF4-FFF2-40B4-BE49-F238E27FC236}">
              <a16:creationId xmlns:a16="http://schemas.microsoft.com/office/drawing/2014/main" id="{976A2D09-C83C-49C5-A370-7C3AB32FC2CA}"/>
            </a:ext>
          </a:extLst>
        </xdr:cNvPr>
        <xdr:cNvGrpSpPr/>
      </xdr:nvGrpSpPr>
      <xdr:grpSpPr>
        <a:xfrm>
          <a:off x="96434031" y="50737477"/>
          <a:ext cx="5287102" cy="3776505"/>
          <a:chOff x="55467048" y="12967956"/>
          <a:chExt cx="4536471" cy="3835121"/>
        </a:xfrm>
      </xdr:grpSpPr>
      <xdr:grpSp>
        <xdr:nvGrpSpPr>
          <xdr:cNvPr id="1356" name="Group 665">
            <a:extLst>
              <a:ext uri="{FF2B5EF4-FFF2-40B4-BE49-F238E27FC236}">
                <a16:creationId xmlns:a16="http://schemas.microsoft.com/office/drawing/2014/main" id="{EBEBBD99-1D11-B814-BCB8-65036D7744A0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1373" name="Arrow: Right 666">
              <a:extLst>
                <a:ext uri="{FF2B5EF4-FFF2-40B4-BE49-F238E27FC236}">
                  <a16:creationId xmlns:a16="http://schemas.microsoft.com/office/drawing/2014/main" id="{2C4E1C4A-EF89-91C9-D656-3C80C0B2E6E3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374" name="Group 667">
              <a:extLst>
                <a:ext uri="{FF2B5EF4-FFF2-40B4-BE49-F238E27FC236}">
                  <a16:creationId xmlns:a16="http://schemas.microsoft.com/office/drawing/2014/main" id="{688127E7-6C48-DFB8-234D-A477DAF86160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1375" name="Rectangle 1374">
                <a:extLst>
                  <a:ext uri="{FF2B5EF4-FFF2-40B4-BE49-F238E27FC236}">
                    <a16:creationId xmlns:a16="http://schemas.microsoft.com/office/drawing/2014/main" id="{D9845EE9-5686-70FC-5F1E-7A2EBDF70379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376" name="Rectangle 1375">
                <a:extLst>
                  <a:ext uri="{FF2B5EF4-FFF2-40B4-BE49-F238E27FC236}">
                    <a16:creationId xmlns:a16="http://schemas.microsoft.com/office/drawing/2014/main" id="{F5B3A863-93A3-F3B0-D8AE-6AB94E5B4C6F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377" name="Rectangle 1376">
                <a:extLst>
                  <a:ext uri="{FF2B5EF4-FFF2-40B4-BE49-F238E27FC236}">
                    <a16:creationId xmlns:a16="http://schemas.microsoft.com/office/drawing/2014/main" id="{C5A45B66-EBA7-781A-6AE2-C0AC517C7BD2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378" name="Isosceles Triangle 674">
                <a:extLst>
                  <a:ext uri="{FF2B5EF4-FFF2-40B4-BE49-F238E27FC236}">
                    <a16:creationId xmlns:a16="http://schemas.microsoft.com/office/drawing/2014/main" id="{B93357AB-C224-0C9B-3AE8-D28310698E00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1357" name="Group 89">
            <a:extLst>
              <a:ext uri="{FF2B5EF4-FFF2-40B4-BE49-F238E27FC236}">
                <a16:creationId xmlns:a16="http://schemas.microsoft.com/office/drawing/2014/main" id="{F6771825-E182-1DA4-8155-56E7C5011F4B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1369" name="Rectangle 1368">
              <a:extLst>
                <a:ext uri="{FF2B5EF4-FFF2-40B4-BE49-F238E27FC236}">
                  <a16:creationId xmlns:a16="http://schemas.microsoft.com/office/drawing/2014/main" id="{0D6E68CC-E09A-AA8C-B5E9-4892C7626D46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1370" name="Straight Connector 92">
              <a:extLst>
                <a:ext uri="{FF2B5EF4-FFF2-40B4-BE49-F238E27FC236}">
                  <a16:creationId xmlns:a16="http://schemas.microsoft.com/office/drawing/2014/main" id="{35A78670-61B6-E375-20E0-CCA35494430A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71" name="Isosceles Triangle 103">
              <a:extLst>
                <a:ext uri="{FF2B5EF4-FFF2-40B4-BE49-F238E27FC236}">
                  <a16:creationId xmlns:a16="http://schemas.microsoft.com/office/drawing/2014/main" id="{9CFCBA7F-5531-88D0-1DC3-3DBFC46D6243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72" name="Rectangle 1371">
              <a:extLst>
                <a:ext uri="{FF2B5EF4-FFF2-40B4-BE49-F238E27FC236}">
                  <a16:creationId xmlns:a16="http://schemas.microsoft.com/office/drawing/2014/main" id="{08311434-782B-D60C-0D0E-40785F61043D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1358" name="Group 224">
            <a:extLst>
              <a:ext uri="{FF2B5EF4-FFF2-40B4-BE49-F238E27FC236}">
                <a16:creationId xmlns:a16="http://schemas.microsoft.com/office/drawing/2014/main" id="{F44D8D90-855B-F8F2-0E8E-0F86AB412A01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1362" name="Rectangle 1361">
              <a:extLst>
                <a:ext uri="{FF2B5EF4-FFF2-40B4-BE49-F238E27FC236}">
                  <a16:creationId xmlns:a16="http://schemas.microsoft.com/office/drawing/2014/main" id="{69E5F902-1955-94E1-E3F0-941755197B8A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363" name="Group 212">
              <a:extLst>
                <a:ext uri="{FF2B5EF4-FFF2-40B4-BE49-F238E27FC236}">
                  <a16:creationId xmlns:a16="http://schemas.microsoft.com/office/drawing/2014/main" id="{7B0B3DDB-2992-9F92-FADE-79BA411249C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1364" name="Line 11">
                <a:extLst>
                  <a:ext uri="{FF2B5EF4-FFF2-40B4-BE49-F238E27FC236}">
                    <a16:creationId xmlns:a16="http://schemas.microsoft.com/office/drawing/2014/main" id="{1C4E3787-598D-D7CD-A8B8-283333B6FB32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65" name="Line 12">
                <a:extLst>
                  <a:ext uri="{FF2B5EF4-FFF2-40B4-BE49-F238E27FC236}">
                    <a16:creationId xmlns:a16="http://schemas.microsoft.com/office/drawing/2014/main" id="{9C33B08A-8094-8B74-85A8-CB95BE544637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66" name="Line 13">
                <a:extLst>
                  <a:ext uri="{FF2B5EF4-FFF2-40B4-BE49-F238E27FC236}">
                    <a16:creationId xmlns:a16="http://schemas.microsoft.com/office/drawing/2014/main" id="{4970627D-F249-FD7E-F035-B86154CB562B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67" name="Line 14">
                <a:extLst>
                  <a:ext uri="{FF2B5EF4-FFF2-40B4-BE49-F238E27FC236}">
                    <a16:creationId xmlns:a16="http://schemas.microsoft.com/office/drawing/2014/main" id="{D0AA5464-8369-67EA-FD13-A32492E39034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68" name="Line 15">
                <a:extLst>
                  <a:ext uri="{FF2B5EF4-FFF2-40B4-BE49-F238E27FC236}">
                    <a16:creationId xmlns:a16="http://schemas.microsoft.com/office/drawing/2014/main" id="{B0E5E297-E0E5-0344-8EF2-9B4B9130DCDB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1359" name="Group 206">
            <a:extLst>
              <a:ext uri="{FF2B5EF4-FFF2-40B4-BE49-F238E27FC236}">
                <a16:creationId xmlns:a16="http://schemas.microsoft.com/office/drawing/2014/main" id="{4CA0A7E8-C3B1-869E-8A86-E860A1ADF8DD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1360" name="Rectangle 1359">
              <a:extLst>
                <a:ext uri="{FF2B5EF4-FFF2-40B4-BE49-F238E27FC236}">
                  <a16:creationId xmlns:a16="http://schemas.microsoft.com/office/drawing/2014/main" id="{78F4198B-39A4-5A23-469A-5C1C99505530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61" name="Arc 26">
              <a:extLst>
                <a:ext uri="{FF2B5EF4-FFF2-40B4-BE49-F238E27FC236}">
                  <a16:creationId xmlns:a16="http://schemas.microsoft.com/office/drawing/2014/main" id="{47EF45AE-AC3F-3835-BC1A-C35700126F7A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25</xdr:col>
      <xdr:colOff>507999</xdr:colOff>
      <xdr:row>94</xdr:row>
      <xdr:rowOff>63499</xdr:rowOff>
    </xdr:from>
    <xdr:to>
      <xdr:col>27</xdr:col>
      <xdr:colOff>245200</xdr:colOff>
      <xdr:row>100</xdr:row>
      <xdr:rowOff>177520</xdr:rowOff>
    </xdr:to>
    <xdr:grpSp>
      <xdr:nvGrpSpPr>
        <xdr:cNvPr id="1331" name="Groupe 1330">
          <a:extLst>
            <a:ext uri="{FF2B5EF4-FFF2-40B4-BE49-F238E27FC236}">
              <a16:creationId xmlns:a16="http://schemas.microsoft.com/office/drawing/2014/main" id="{E333C8E3-4467-4002-9180-6CDDA21DC014}"/>
            </a:ext>
          </a:extLst>
        </xdr:cNvPr>
        <xdr:cNvGrpSpPr/>
      </xdr:nvGrpSpPr>
      <xdr:grpSpPr>
        <a:xfrm>
          <a:off x="75488799" y="51498499"/>
          <a:ext cx="5147401" cy="3390621"/>
          <a:chOff x="55467048" y="12967956"/>
          <a:chExt cx="4536471" cy="3835121"/>
        </a:xfrm>
      </xdr:grpSpPr>
      <xdr:grpSp>
        <xdr:nvGrpSpPr>
          <xdr:cNvPr id="1332" name="Group 665">
            <a:extLst>
              <a:ext uri="{FF2B5EF4-FFF2-40B4-BE49-F238E27FC236}">
                <a16:creationId xmlns:a16="http://schemas.microsoft.com/office/drawing/2014/main" id="{9A23BC22-845A-F07D-8D1A-087CBAF2997C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1349" name="Arrow: Right 666">
              <a:extLst>
                <a:ext uri="{FF2B5EF4-FFF2-40B4-BE49-F238E27FC236}">
                  <a16:creationId xmlns:a16="http://schemas.microsoft.com/office/drawing/2014/main" id="{C227C030-C2E7-E19F-332A-38DE01554181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350" name="Group 667">
              <a:extLst>
                <a:ext uri="{FF2B5EF4-FFF2-40B4-BE49-F238E27FC236}">
                  <a16:creationId xmlns:a16="http://schemas.microsoft.com/office/drawing/2014/main" id="{A2A1B5A6-60F0-3ED8-68A6-BDD09BB4A015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1351" name="Rectangle 1350">
                <a:extLst>
                  <a:ext uri="{FF2B5EF4-FFF2-40B4-BE49-F238E27FC236}">
                    <a16:creationId xmlns:a16="http://schemas.microsoft.com/office/drawing/2014/main" id="{A034A7BF-BEB8-FFD0-8298-1C3D9DE49050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352" name="Rectangle 1351">
                <a:extLst>
                  <a:ext uri="{FF2B5EF4-FFF2-40B4-BE49-F238E27FC236}">
                    <a16:creationId xmlns:a16="http://schemas.microsoft.com/office/drawing/2014/main" id="{CCC863B8-B11C-7B50-3D1B-F0B4EB0F7256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353" name="Rectangle 1352">
                <a:extLst>
                  <a:ext uri="{FF2B5EF4-FFF2-40B4-BE49-F238E27FC236}">
                    <a16:creationId xmlns:a16="http://schemas.microsoft.com/office/drawing/2014/main" id="{51844CFD-037E-2E9A-6577-F3B9669D0598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354" name="Isosceles Triangle 674">
                <a:extLst>
                  <a:ext uri="{FF2B5EF4-FFF2-40B4-BE49-F238E27FC236}">
                    <a16:creationId xmlns:a16="http://schemas.microsoft.com/office/drawing/2014/main" id="{412B5E98-BA1C-92E3-BFE6-91F3D2C1916A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1333" name="Group 89">
            <a:extLst>
              <a:ext uri="{FF2B5EF4-FFF2-40B4-BE49-F238E27FC236}">
                <a16:creationId xmlns:a16="http://schemas.microsoft.com/office/drawing/2014/main" id="{3596FFA6-FFC7-3E72-42C6-8786E4121C11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1345" name="Rectangle 1344">
              <a:extLst>
                <a:ext uri="{FF2B5EF4-FFF2-40B4-BE49-F238E27FC236}">
                  <a16:creationId xmlns:a16="http://schemas.microsoft.com/office/drawing/2014/main" id="{81C7EF0C-18CA-6AAC-DDF8-DD98CE09E0E6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1346" name="Straight Connector 92">
              <a:extLst>
                <a:ext uri="{FF2B5EF4-FFF2-40B4-BE49-F238E27FC236}">
                  <a16:creationId xmlns:a16="http://schemas.microsoft.com/office/drawing/2014/main" id="{20FFA97F-4DA2-D9AE-461B-EE34E9B659AC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47" name="Isosceles Triangle 103">
              <a:extLst>
                <a:ext uri="{FF2B5EF4-FFF2-40B4-BE49-F238E27FC236}">
                  <a16:creationId xmlns:a16="http://schemas.microsoft.com/office/drawing/2014/main" id="{E895B1E2-645A-D3F6-2F1A-3357A2775CA2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48" name="Rectangle 1347">
              <a:extLst>
                <a:ext uri="{FF2B5EF4-FFF2-40B4-BE49-F238E27FC236}">
                  <a16:creationId xmlns:a16="http://schemas.microsoft.com/office/drawing/2014/main" id="{8A45A6D2-2541-4341-4C84-ED6B4780D6A9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1334" name="Group 224">
            <a:extLst>
              <a:ext uri="{FF2B5EF4-FFF2-40B4-BE49-F238E27FC236}">
                <a16:creationId xmlns:a16="http://schemas.microsoft.com/office/drawing/2014/main" id="{8E0ED9C4-6438-B647-2A39-ED39916BB4D1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1338" name="Rectangle 1337">
              <a:extLst>
                <a:ext uri="{FF2B5EF4-FFF2-40B4-BE49-F238E27FC236}">
                  <a16:creationId xmlns:a16="http://schemas.microsoft.com/office/drawing/2014/main" id="{57FD48C5-3B16-F96C-91E8-8C45A34E847C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339" name="Group 212">
              <a:extLst>
                <a:ext uri="{FF2B5EF4-FFF2-40B4-BE49-F238E27FC236}">
                  <a16:creationId xmlns:a16="http://schemas.microsoft.com/office/drawing/2014/main" id="{C1A0E4B5-C52F-3CCF-1B9C-98399774372C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1340" name="Line 11">
                <a:extLst>
                  <a:ext uri="{FF2B5EF4-FFF2-40B4-BE49-F238E27FC236}">
                    <a16:creationId xmlns:a16="http://schemas.microsoft.com/office/drawing/2014/main" id="{FD4B7126-98F0-130A-5D49-7CE30A7D8C78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41" name="Line 12">
                <a:extLst>
                  <a:ext uri="{FF2B5EF4-FFF2-40B4-BE49-F238E27FC236}">
                    <a16:creationId xmlns:a16="http://schemas.microsoft.com/office/drawing/2014/main" id="{0D3C01F9-A09D-CCDB-9C1D-92E0C12EBD8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42" name="Line 13">
                <a:extLst>
                  <a:ext uri="{FF2B5EF4-FFF2-40B4-BE49-F238E27FC236}">
                    <a16:creationId xmlns:a16="http://schemas.microsoft.com/office/drawing/2014/main" id="{C8D7EFEC-DF45-071E-E6E4-624C466CBF4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43" name="Line 14">
                <a:extLst>
                  <a:ext uri="{FF2B5EF4-FFF2-40B4-BE49-F238E27FC236}">
                    <a16:creationId xmlns:a16="http://schemas.microsoft.com/office/drawing/2014/main" id="{91E07907-2E58-8112-2724-B31D43FF5EAF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44" name="Line 15">
                <a:extLst>
                  <a:ext uri="{FF2B5EF4-FFF2-40B4-BE49-F238E27FC236}">
                    <a16:creationId xmlns:a16="http://schemas.microsoft.com/office/drawing/2014/main" id="{79036265-2029-1AB0-E0EC-730DDC86688F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1335" name="Group 206">
            <a:extLst>
              <a:ext uri="{FF2B5EF4-FFF2-40B4-BE49-F238E27FC236}">
                <a16:creationId xmlns:a16="http://schemas.microsoft.com/office/drawing/2014/main" id="{FEB64E27-DD34-CE18-4B81-BB7C10E4447E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1336" name="Rectangle 1335">
              <a:extLst>
                <a:ext uri="{FF2B5EF4-FFF2-40B4-BE49-F238E27FC236}">
                  <a16:creationId xmlns:a16="http://schemas.microsoft.com/office/drawing/2014/main" id="{5F17158C-D161-7813-F91C-935B6F8EA76D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37" name="Arc 26">
              <a:extLst>
                <a:ext uri="{FF2B5EF4-FFF2-40B4-BE49-F238E27FC236}">
                  <a16:creationId xmlns:a16="http://schemas.microsoft.com/office/drawing/2014/main" id="{AAE24463-847A-568C-7740-38C5AF7243B7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20</xdr:col>
      <xdr:colOff>12255500</xdr:colOff>
      <xdr:row>94</xdr:row>
      <xdr:rowOff>762000</xdr:rowOff>
    </xdr:from>
    <xdr:to>
      <xdr:col>22</xdr:col>
      <xdr:colOff>1465377</xdr:colOff>
      <xdr:row>101</xdr:row>
      <xdr:rowOff>25121</xdr:rowOff>
    </xdr:to>
    <xdr:grpSp>
      <xdr:nvGrpSpPr>
        <xdr:cNvPr id="1304" name="Groupe 1303">
          <a:extLst>
            <a:ext uri="{FF2B5EF4-FFF2-40B4-BE49-F238E27FC236}">
              <a16:creationId xmlns:a16="http://schemas.microsoft.com/office/drawing/2014/main" id="{96B4AA48-683F-4E46-AB4E-3B21BE242069}"/>
            </a:ext>
          </a:extLst>
        </xdr:cNvPr>
        <xdr:cNvGrpSpPr/>
      </xdr:nvGrpSpPr>
      <xdr:grpSpPr>
        <a:xfrm>
          <a:off x="52641500" y="52197000"/>
          <a:ext cx="5211877" cy="2996921"/>
          <a:chOff x="55467048" y="12967956"/>
          <a:chExt cx="4536471" cy="3835121"/>
        </a:xfrm>
      </xdr:grpSpPr>
      <xdr:grpSp>
        <xdr:nvGrpSpPr>
          <xdr:cNvPr id="1305" name="Group 665">
            <a:extLst>
              <a:ext uri="{FF2B5EF4-FFF2-40B4-BE49-F238E27FC236}">
                <a16:creationId xmlns:a16="http://schemas.microsoft.com/office/drawing/2014/main" id="{B0D00CD6-1CE1-DC3B-B5DF-BAF183F5E553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1322" name="Arrow: Right 666">
              <a:extLst>
                <a:ext uri="{FF2B5EF4-FFF2-40B4-BE49-F238E27FC236}">
                  <a16:creationId xmlns:a16="http://schemas.microsoft.com/office/drawing/2014/main" id="{54A283D6-E779-4920-D905-DC9F3D2DFF14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323" name="Group 667">
              <a:extLst>
                <a:ext uri="{FF2B5EF4-FFF2-40B4-BE49-F238E27FC236}">
                  <a16:creationId xmlns:a16="http://schemas.microsoft.com/office/drawing/2014/main" id="{4233B426-157B-623A-E6EF-4D546617FAC1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1327" name="Rectangle 1326">
                <a:extLst>
                  <a:ext uri="{FF2B5EF4-FFF2-40B4-BE49-F238E27FC236}">
                    <a16:creationId xmlns:a16="http://schemas.microsoft.com/office/drawing/2014/main" id="{207C6A58-58E5-66D4-09F1-8AFC2D424729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328" name="Rectangle 1327">
                <a:extLst>
                  <a:ext uri="{FF2B5EF4-FFF2-40B4-BE49-F238E27FC236}">
                    <a16:creationId xmlns:a16="http://schemas.microsoft.com/office/drawing/2014/main" id="{E15FA477-8A3C-5814-D392-E87DE707D089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329" name="Rectangle 1328">
                <a:extLst>
                  <a:ext uri="{FF2B5EF4-FFF2-40B4-BE49-F238E27FC236}">
                    <a16:creationId xmlns:a16="http://schemas.microsoft.com/office/drawing/2014/main" id="{04794A51-66A4-63BB-BDEA-F01E97EC8B5D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330" name="Isosceles Triangle 674">
                <a:extLst>
                  <a:ext uri="{FF2B5EF4-FFF2-40B4-BE49-F238E27FC236}">
                    <a16:creationId xmlns:a16="http://schemas.microsoft.com/office/drawing/2014/main" id="{5361E6C0-D375-B062-01FC-CBC01068DC0C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1306" name="Group 89">
            <a:extLst>
              <a:ext uri="{FF2B5EF4-FFF2-40B4-BE49-F238E27FC236}">
                <a16:creationId xmlns:a16="http://schemas.microsoft.com/office/drawing/2014/main" id="{14417A7E-BDED-C574-DC97-479D32A85612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1318" name="Rectangle 1317">
              <a:extLst>
                <a:ext uri="{FF2B5EF4-FFF2-40B4-BE49-F238E27FC236}">
                  <a16:creationId xmlns:a16="http://schemas.microsoft.com/office/drawing/2014/main" id="{4299A986-B882-CDB8-0441-A342DC36F81A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1319" name="Straight Connector 92">
              <a:extLst>
                <a:ext uri="{FF2B5EF4-FFF2-40B4-BE49-F238E27FC236}">
                  <a16:creationId xmlns:a16="http://schemas.microsoft.com/office/drawing/2014/main" id="{E8862858-4ADF-4519-AD99-0BAD38B87D9D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20" name="Isosceles Triangle 103">
              <a:extLst>
                <a:ext uri="{FF2B5EF4-FFF2-40B4-BE49-F238E27FC236}">
                  <a16:creationId xmlns:a16="http://schemas.microsoft.com/office/drawing/2014/main" id="{3538ED73-21FD-CC49-2B5B-44578AF123CD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21" name="Rectangle 1320">
              <a:extLst>
                <a:ext uri="{FF2B5EF4-FFF2-40B4-BE49-F238E27FC236}">
                  <a16:creationId xmlns:a16="http://schemas.microsoft.com/office/drawing/2014/main" id="{D09ACEB9-B3A4-09F7-0D88-AB6183AE8F05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1307" name="Group 224">
            <a:extLst>
              <a:ext uri="{FF2B5EF4-FFF2-40B4-BE49-F238E27FC236}">
                <a16:creationId xmlns:a16="http://schemas.microsoft.com/office/drawing/2014/main" id="{39DB4E05-58D8-B8C6-8271-DA2054F11311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1311" name="Rectangle 1310">
              <a:extLst>
                <a:ext uri="{FF2B5EF4-FFF2-40B4-BE49-F238E27FC236}">
                  <a16:creationId xmlns:a16="http://schemas.microsoft.com/office/drawing/2014/main" id="{1CEA0322-6DC4-0CA9-F2A0-2A3156C3F661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312" name="Group 212">
              <a:extLst>
                <a:ext uri="{FF2B5EF4-FFF2-40B4-BE49-F238E27FC236}">
                  <a16:creationId xmlns:a16="http://schemas.microsoft.com/office/drawing/2014/main" id="{912FD2EE-B7A8-EB74-58B0-8975A5E8B83C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1313" name="Line 11">
                <a:extLst>
                  <a:ext uri="{FF2B5EF4-FFF2-40B4-BE49-F238E27FC236}">
                    <a16:creationId xmlns:a16="http://schemas.microsoft.com/office/drawing/2014/main" id="{00C222CF-E614-08CB-6C4E-DAEA3D2E3A34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14" name="Line 12">
                <a:extLst>
                  <a:ext uri="{FF2B5EF4-FFF2-40B4-BE49-F238E27FC236}">
                    <a16:creationId xmlns:a16="http://schemas.microsoft.com/office/drawing/2014/main" id="{28188E04-8999-6CE8-0F25-5DB1A7584A9E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15" name="Line 13">
                <a:extLst>
                  <a:ext uri="{FF2B5EF4-FFF2-40B4-BE49-F238E27FC236}">
                    <a16:creationId xmlns:a16="http://schemas.microsoft.com/office/drawing/2014/main" id="{2C74694A-BEF9-E607-E84C-C34BC9D471A4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16" name="Line 14">
                <a:extLst>
                  <a:ext uri="{FF2B5EF4-FFF2-40B4-BE49-F238E27FC236}">
                    <a16:creationId xmlns:a16="http://schemas.microsoft.com/office/drawing/2014/main" id="{20F9ABB7-9EE8-3EDD-AE8E-363CC6B50A17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317" name="Line 15">
                <a:extLst>
                  <a:ext uri="{FF2B5EF4-FFF2-40B4-BE49-F238E27FC236}">
                    <a16:creationId xmlns:a16="http://schemas.microsoft.com/office/drawing/2014/main" id="{F222A03D-3313-F326-ACA0-02281699C37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1308" name="Group 206">
            <a:extLst>
              <a:ext uri="{FF2B5EF4-FFF2-40B4-BE49-F238E27FC236}">
                <a16:creationId xmlns:a16="http://schemas.microsoft.com/office/drawing/2014/main" id="{CF2A80EA-6EB5-426F-D667-5DEA8B790040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1309" name="Rectangle 1308">
              <a:extLst>
                <a:ext uri="{FF2B5EF4-FFF2-40B4-BE49-F238E27FC236}">
                  <a16:creationId xmlns:a16="http://schemas.microsoft.com/office/drawing/2014/main" id="{5D027DC9-03C6-E49E-D014-23775B188211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10" name="Arc 26">
              <a:extLst>
                <a:ext uri="{FF2B5EF4-FFF2-40B4-BE49-F238E27FC236}">
                  <a16:creationId xmlns:a16="http://schemas.microsoft.com/office/drawing/2014/main" id="{C52A3E19-8405-8B79-2CB2-B388211623A0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0</xdr:col>
      <xdr:colOff>470807</xdr:colOff>
      <xdr:row>50</xdr:row>
      <xdr:rowOff>190501</xdr:rowOff>
    </xdr:from>
    <xdr:to>
      <xdr:col>2</xdr:col>
      <xdr:colOff>289832</xdr:colOff>
      <xdr:row>53</xdr:row>
      <xdr:rowOff>195943</xdr:rowOff>
    </xdr:to>
    <xdr:grpSp>
      <xdr:nvGrpSpPr>
        <xdr:cNvPr id="317" name="Group 316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GrpSpPr/>
      </xdr:nvGrpSpPr>
      <xdr:grpSpPr>
        <a:xfrm>
          <a:off x="470807" y="26936701"/>
          <a:ext cx="2638425" cy="5415642"/>
          <a:chOff x="8048625" y="16440150"/>
          <a:chExt cx="1743075" cy="1409700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000-000036010000}"/>
              </a:ext>
            </a:extLst>
          </xdr:cNvPr>
          <xdr:cNvSpPr/>
        </xdr:nvSpPr>
        <xdr:spPr>
          <a:xfrm>
            <a:off x="8048625" y="1644015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308" name="Group 307">
            <a:extLst>
              <a:ext uri="{FF2B5EF4-FFF2-40B4-BE49-F238E27FC236}">
                <a16:creationId xmlns:a16="http://schemas.microsoft.com/office/drawing/2014/main" id="{00000000-0008-0000-0000-000034010000}"/>
              </a:ext>
            </a:extLst>
          </xdr:cNvPr>
          <xdr:cNvGrpSpPr/>
        </xdr:nvGrpSpPr>
        <xdr:grpSpPr>
          <a:xfrm>
            <a:off x="8486774" y="17002125"/>
            <a:ext cx="923926" cy="457200"/>
            <a:chOff x="8229599" y="17468850"/>
            <a:chExt cx="923926" cy="457200"/>
          </a:xfrm>
        </xdr:grpSpPr>
        <xdr:cxnSp macro="">
          <xdr:nvCxnSpPr>
            <xdr:cNvPr id="296" name="Straight Connector 295">
              <a:extLst>
                <a:ext uri="{FF2B5EF4-FFF2-40B4-BE49-F238E27FC236}">
                  <a16:creationId xmlns:a16="http://schemas.microsoft.com/office/drawing/2014/main" id="{00000000-0008-0000-0000-000028010000}"/>
                </a:ext>
              </a:extLst>
            </xdr:cNvPr>
            <xdr:cNvCxnSpPr/>
          </xdr:nvCxnSpPr>
          <xdr:spPr>
            <a:xfrm>
              <a:off x="9010650" y="17754600"/>
              <a:ext cx="9525" cy="17145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307" name="Group 306">
              <a:extLst>
                <a:ext uri="{FF2B5EF4-FFF2-40B4-BE49-F238E27FC236}">
                  <a16:creationId xmlns:a16="http://schemas.microsoft.com/office/drawing/2014/main" id="{00000000-0008-0000-0000-000033010000}"/>
                </a:ext>
              </a:extLst>
            </xdr:cNvPr>
            <xdr:cNvGrpSpPr/>
          </xdr:nvGrpSpPr>
          <xdr:grpSpPr>
            <a:xfrm>
              <a:off x="8229599" y="17468850"/>
              <a:ext cx="923926" cy="457200"/>
              <a:chOff x="8086724" y="17164050"/>
              <a:chExt cx="923926" cy="457200"/>
            </a:xfrm>
          </xdr:grpSpPr>
          <xdr:sp macro="" textlink="">
            <xdr:nvSpPr>
              <xdr:cNvPr id="289" name="Oval 288">
                <a:extLst>
                  <a:ext uri="{FF2B5EF4-FFF2-40B4-BE49-F238E27FC236}">
                    <a16:creationId xmlns:a16="http://schemas.microsoft.com/office/drawing/2014/main" id="{00000000-0008-0000-0000-000021010000}"/>
                  </a:ext>
                </a:extLst>
              </xdr:cNvPr>
              <xdr:cNvSpPr/>
            </xdr:nvSpPr>
            <xdr:spPr>
              <a:xfrm rot="797763">
                <a:off x="8086724" y="17192295"/>
                <a:ext cx="923926" cy="191540"/>
              </a:xfrm>
              <a:custGeom>
                <a:avLst/>
                <a:gdLst>
                  <a:gd name="connsiteX0" fmla="*/ 0 w 771525"/>
                  <a:gd name="connsiteY0" fmla="*/ 95250 h 190500"/>
                  <a:gd name="connsiteX1" fmla="*/ 385763 w 771525"/>
                  <a:gd name="connsiteY1" fmla="*/ 0 h 190500"/>
                  <a:gd name="connsiteX2" fmla="*/ 771526 w 771525"/>
                  <a:gd name="connsiteY2" fmla="*/ 95250 h 190500"/>
                  <a:gd name="connsiteX3" fmla="*/ 385763 w 771525"/>
                  <a:gd name="connsiteY3" fmla="*/ 190500 h 190500"/>
                  <a:gd name="connsiteX4" fmla="*/ 0 w 771525"/>
                  <a:gd name="connsiteY4" fmla="*/ 95250 h 190500"/>
                  <a:gd name="connsiteX0" fmla="*/ 0 w 733426"/>
                  <a:gd name="connsiteY0" fmla="*/ 95250 h 190500"/>
                  <a:gd name="connsiteX1" fmla="*/ 385763 w 733426"/>
                  <a:gd name="connsiteY1" fmla="*/ 0 h 190500"/>
                  <a:gd name="connsiteX2" fmla="*/ 733426 w 733426"/>
                  <a:gd name="connsiteY2" fmla="*/ 95250 h 190500"/>
                  <a:gd name="connsiteX3" fmla="*/ 385763 w 733426"/>
                  <a:gd name="connsiteY3" fmla="*/ 190500 h 190500"/>
                  <a:gd name="connsiteX4" fmla="*/ 0 w 733426"/>
                  <a:gd name="connsiteY4" fmla="*/ 95250 h 190500"/>
                  <a:gd name="connsiteX0" fmla="*/ 0 w 695326"/>
                  <a:gd name="connsiteY0" fmla="*/ 95250 h 190500"/>
                  <a:gd name="connsiteX1" fmla="*/ 347663 w 695326"/>
                  <a:gd name="connsiteY1" fmla="*/ 0 h 190500"/>
                  <a:gd name="connsiteX2" fmla="*/ 695326 w 695326"/>
                  <a:gd name="connsiteY2" fmla="*/ 95250 h 190500"/>
                  <a:gd name="connsiteX3" fmla="*/ 347663 w 695326"/>
                  <a:gd name="connsiteY3" fmla="*/ 190500 h 190500"/>
                  <a:gd name="connsiteX4" fmla="*/ 0 w 695326"/>
                  <a:gd name="connsiteY4" fmla="*/ 95250 h 190500"/>
                  <a:gd name="connsiteX0" fmla="*/ 0 w 819151"/>
                  <a:gd name="connsiteY0" fmla="*/ 95250 h 190500"/>
                  <a:gd name="connsiteX1" fmla="*/ 471488 w 819151"/>
                  <a:gd name="connsiteY1" fmla="*/ 0 h 190500"/>
                  <a:gd name="connsiteX2" fmla="*/ 819151 w 819151"/>
                  <a:gd name="connsiteY2" fmla="*/ 95250 h 190500"/>
                  <a:gd name="connsiteX3" fmla="*/ 471488 w 819151"/>
                  <a:gd name="connsiteY3" fmla="*/ 190500 h 190500"/>
                  <a:gd name="connsiteX4" fmla="*/ 0 w 819151"/>
                  <a:gd name="connsiteY4" fmla="*/ 95250 h 190500"/>
                  <a:gd name="connsiteX0" fmla="*/ 0 w 971551"/>
                  <a:gd name="connsiteY0" fmla="*/ 95405 h 190908"/>
                  <a:gd name="connsiteX1" fmla="*/ 471488 w 971551"/>
                  <a:gd name="connsiteY1" fmla="*/ 155 h 190908"/>
                  <a:gd name="connsiteX2" fmla="*/ 971551 w 971551"/>
                  <a:gd name="connsiteY2" fmla="*/ 114455 h 190908"/>
                  <a:gd name="connsiteX3" fmla="*/ 471488 w 971551"/>
                  <a:gd name="connsiteY3" fmla="*/ 190655 h 190908"/>
                  <a:gd name="connsiteX4" fmla="*/ 0 w 971551"/>
                  <a:gd name="connsiteY4" fmla="*/ 95405 h 190908"/>
                  <a:gd name="connsiteX0" fmla="*/ 0 w 923926"/>
                  <a:gd name="connsiteY0" fmla="*/ 95580 h 191540"/>
                  <a:gd name="connsiteX1" fmla="*/ 471488 w 923926"/>
                  <a:gd name="connsiteY1" fmla="*/ 330 h 191540"/>
                  <a:gd name="connsiteX2" fmla="*/ 923926 w 923926"/>
                  <a:gd name="connsiteY2" fmla="*/ 124155 h 191540"/>
                  <a:gd name="connsiteX3" fmla="*/ 471488 w 923926"/>
                  <a:gd name="connsiteY3" fmla="*/ 190830 h 191540"/>
                  <a:gd name="connsiteX4" fmla="*/ 0 w 923926"/>
                  <a:gd name="connsiteY4" fmla="*/ 95580 h 19154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23926" h="191540">
                    <a:moveTo>
                      <a:pt x="0" y="95580"/>
                    </a:moveTo>
                    <a:cubicBezTo>
                      <a:pt x="0" y="42975"/>
                      <a:pt x="317500" y="-4432"/>
                      <a:pt x="471488" y="330"/>
                    </a:cubicBezTo>
                    <a:cubicBezTo>
                      <a:pt x="625476" y="5092"/>
                      <a:pt x="923926" y="71550"/>
                      <a:pt x="923926" y="124155"/>
                    </a:cubicBezTo>
                    <a:cubicBezTo>
                      <a:pt x="923926" y="176760"/>
                      <a:pt x="625476" y="195592"/>
                      <a:pt x="471488" y="190830"/>
                    </a:cubicBezTo>
                    <a:cubicBezTo>
                      <a:pt x="317500" y="186068"/>
                      <a:pt x="0" y="148185"/>
                      <a:pt x="0" y="95580"/>
                    </a:cubicBezTo>
                    <a:close/>
                  </a:path>
                </a:pathLst>
              </a:custGeom>
              <a:no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0" name="Oval 289">
                <a:extLst>
                  <a:ext uri="{FF2B5EF4-FFF2-40B4-BE49-F238E27FC236}">
                    <a16:creationId xmlns:a16="http://schemas.microsoft.com/office/drawing/2014/main" id="{00000000-0008-0000-0000-000022010000}"/>
                  </a:ext>
                </a:extLst>
              </xdr:cNvPr>
              <xdr:cNvSpPr/>
            </xdr:nvSpPr>
            <xdr:spPr>
              <a:xfrm>
                <a:off x="8191500" y="17164050"/>
                <a:ext cx="95250" cy="85725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1" name="Oval 290">
                <a:extLst>
                  <a:ext uri="{FF2B5EF4-FFF2-40B4-BE49-F238E27FC236}">
                    <a16:creationId xmlns:a16="http://schemas.microsoft.com/office/drawing/2014/main" id="{00000000-0008-0000-0000-000023010000}"/>
                  </a:ext>
                </a:extLst>
              </xdr:cNvPr>
              <xdr:cNvSpPr/>
            </xdr:nvSpPr>
            <xdr:spPr>
              <a:xfrm>
                <a:off x="8343900" y="17202150"/>
                <a:ext cx="95250" cy="85725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2" name="Oval 291">
                <a:extLst>
                  <a:ext uri="{FF2B5EF4-FFF2-40B4-BE49-F238E27FC236}">
                    <a16:creationId xmlns:a16="http://schemas.microsoft.com/office/drawing/2014/main" id="{00000000-0008-0000-0000-000024010000}"/>
                  </a:ext>
                </a:extLst>
              </xdr:cNvPr>
              <xdr:cNvSpPr/>
            </xdr:nvSpPr>
            <xdr:spPr>
              <a:xfrm>
                <a:off x="8496300" y="17240250"/>
                <a:ext cx="95250" cy="85725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3" name="Oval 292">
                <a:extLst>
                  <a:ext uri="{FF2B5EF4-FFF2-40B4-BE49-F238E27FC236}">
                    <a16:creationId xmlns:a16="http://schemas.microsoft.com/office/drawing/2014/main" id="{00000000-0008-0000-0000-000025010000}"/>
                  </a:ext>
                </a:extLst>
              </xdr:cNvPr>
              <xdr:cNvSpPr/>
            </xdr:nvSpPr>
            <xdr:spPr>
              <a:xfrm>
                <a:off x="8658225" y="17287875"/>
                <a:ext cx="95250" cy="85725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4" name="Oval 293">
                <a:extLst>
                  <a:ext uri="{FF2B5EF4-FFF2-40B4-BE49-F238E27FC236}">
                    <a16:creationId xmlns:a16="http://schemas.microsoft.com/office/drawing/2014/main" id="{00000000-0008-0000-0000-000026010000}"/>
                  </a:ext>
                </a:extLst>
              </xdr:cNvPr>
              <xdr:cNvSpPr/>
            </xdr:nvSpPr>
            <xdr:spPr>
              <a:xfrm>
                <a:off x="8801100" y="17325975"/>
                <a:ext cx="95250" cy="85725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cxnSp macro="">
            <xdr:nvCxnSpPr>
              <xdr:cNvPr id="297" name="Straight Connector 296">
                <a:extLst>
                  <a:ext uri="{FF2B5EF4-FFF2-40B4-BE49-F238E27FC236}">
                    <a16:creationId xmlns:a16="http://schemas.microsoft.com/office/drawing/2014/main" id="{00000000-0008-0000-0000-000029010000}"/>
                  </a:ext>
                </a:extLst>
              </xdr:cNvPr>
              <xdr:cNvCxnSpPr/>
            </xdr:nvCxnSpPr>
            <xdr:spPr>
              <a:xfrm>
                <a:off x="8810625" y="17449800"/>
                <a:ext cx="9525" cy="171450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98" name="Straight Connector 297">
                <a:extLst>
                  <a:ext uri="{FF2B5EF4-FFF2-40B4-BE49-F238E27FC236}">
                    <a16:creationId xmlns:a16="http://schemas.microsoft.com/office/drawing/2014/main" id="{00000000-0008-0000-0000-00002A010000}"/>
                  </a:ext>
                </a:extLst>
              </xdr:cNvPr>
              <xdr:cNvCxnSpPr/>
            </xdr:nvCxnSpPr>
            <xdr:spPr>
              <a:xfrm flipH="1">
                <a:off x="8743950" y="17602200"/>
                <a:ext cx="200025" cy="9525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2" name="Straight Connector 301">
                <a:extLst>
                  <a:ext uri="{FF2B5EF4-FFF2-40B4-BE49-F238E27FC236}">
                    <a16:creationId xmlns:a16="http://schemas.microsoft.com/office/drawing/2014/main" id="{00000000-0008-0000-0000-00002E010000}"/>
                  </a:ext>
                </a:extLst>
              </xdr:cNvPr>
              <xdr:cNvCxnSpPr/>
            </xdr:nvCxnSpPr>
            <xdr:spPr>
              <a:xfrm flipH="1">
                <a:off x="8105775" y="17611725"/>
                <a:ext cx="200025" cy="9525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6" name="Straight Connector 305">
                <a:extLst>
                  <a:ext uri="{FF2B5EF4-FFF2-40B4-BE49-F238E27FC236}">
                    <a16:creationId xmlns:a16="http://schemas.microsoft.com/office/drawing/2014/main" id="{00000000-0008-0000-0000-000032010000}"/>
                  </a:ext>
                </a:extLst>
              </xdr:cNvPr>
              <xdr:cNvCxnSpPr/>
            </xdr:nvCxnSpPr>
            <xdr:spPr>
              <a:xfrm>
                <a:off x="8172450" y="17230725"/>
                <a:ext cx="9525" cy="381000"/>
              </a:xfrm>
              <a:prstGeom prst="line">
                <a:avLst/>
              </a:prstGeom>
              <a:ln w="127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0</xdr:col>
      <xdr:colOff>692080</xdr:colOff>
      <xdr:row>10</xdr:row>
      <xdr:rowOff>200025</xdr:rowOff>
    </xdr:from>
    <xdr:to>
      <xdr:col>1</xdr:col>
      <xdr:colOff>914400</xdr:colOff>
      <xdr:row>12</xdr:row>
      <xdr:rowOff>66675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92080" y="3248025"/>
          <a:ext cx="1136720" cy="781050"/>
          <a:chOff x="358705" y="4038600"/>
          <a:chExt cx="1070045" cy="742950"/>
        </a:xfrm>
      </xdr:grpSpPr>
      <xdr:sp macro="" textlink="">
        <xdr:nvSpPr>
          <xdr:cNvPr id="17" name="Freeform: Shap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358705" y="4038600"/>
            <a:ext cx="1070045" cy="742950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solidFill>
            <a:srgbClr val="FFC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 b="1">
              <a:solidFill>
                <a:schemeClr val="tx1"/>
              </a:solidFill>
            </a:endParaRPr>
          </a:p>
        </xdr:txBody>
      </xdr:sp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20630" y="4410075"/>
            <a:ext cx="731583" cy="29873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692080</xdr:colOff>
      <xdr:row>10</xdr:row>
      <xdr:rowOff>285750</xdr:rowOff>
    </xdr:from>
    <xdr:to>
      <xdr:col>6</xdr:col>
      <xdr:colOff>66675</xdr:colOff>
      <xdr:row>12</xdr:row>
      <xdr:rowOff>152400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340280" y="3333750"/>
          <a:ext cx="1431995" cy="781050"/>
          <a:chOff x="1863655" y="3857625"/>
          <a:chExt cx="1070045" cy="742950"/>
        </a:xfrm>
      </xdr:grpSpPr>
      <xdr:sp macro="" textlink="">
        <xdr:nvSpPr>
          <xdr:cNvPr id="19" name="Freeform: Shap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863655" y="3857625"/>
            <a:ext cx="1070045" cy="742950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solidFill>
            <a:srgbClr val="FFC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 b="1">
              <a:solidFill>
                <a:schemeClr val="tx1"/>
              </a:solidFill>
              <a:effectLst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038350" y="4267201"/>
            <a:ext cx="695325" cy="2762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 b="1"/>
              <a:t>Supplier</a:t>
            </a:r>
          </a:p>
        </xdr:txBody>
      </xdr:sp>
    </xdr:grpSp>
    <xdr:clientData/>
  </xdr:twoCellAnchor>
  <xdr:twoCellAnchor>
    <xdr:from>
      <xdr:col>0</xdr:col>
      <xdr:colOff>723900</xdr:colOff>
      <xdr:row>13</xdr:row>
      <xdr:rowOff>419102</xdr:rowOff>
    </xdr:from>
    <xdr:to>
      <xdr:col>2</xdr:col>
      <xdr:colOff>152400</xdr:colOff>
      <xdr:row>17</xdr:row>
      <xdr:rowOff>352423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723900" y="4838702"/>
          <a:ext cx="2247900" cy="1762121"/>
          <a:chOff x="600075" y="6219829"/>
          <a:chExt cx="1352550" cy="1819272"/>
        </a:xfrm>
        <a:solidFill>
          <a:schemeClr val="accent4">
            <a:lumMod val="60000"/>
            <a:lumOff val="40000"/>
          </a:schemeClr>
        </a:solidFill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600075" y="6219829"/>
            <a:ext cx="1352550" cy="1200149"/>
            <a:chOff x="581025" y="5353050"/>
            <a:chExt cx="1352550" cy="1323973"/>
          </a:xfrm>
          <a:grpFill/>
        </xdr:grpSpPr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581025" y="5353050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800"/>
                <a:t>C/T=</a:t>
              </a:r>
            </a:p>
          </xdr:txBody>
        </xdr:sp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581025" y="5686425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r>
                <a:rPr lang="fr-FR" sz="8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P/T=</a:t>
              </a:r>
            </a:p>
          </xdr:txBody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/>
          </xdr:nvSpPr>
          <xdr:spPr>
            <a:xfrm>
              <a:off x="581025" y="6010275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r>
                <a:rPr lang="fr-FR" sz="8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C O =</a:t>
              </a:r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/>
          </xdr:nvSpPr>
          <xdr:spPr>
            <a:xfrm>
              <a:off x="581025" y="6343649"/>
              <a:ext cx="1352550" cy="333374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8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Uptime</a:t>
              </a:r>
              <a:r>
                <a:rPr lang="fr-FR" sz="1100"/>
                <a:t> =</a:t>
              </a:r>
            </a:p>
          </xdr:txBody>
        </xdr:sp>
      </xdr:grpSp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pSpPr/>
        </xdr:nvGrpSpPr>
        <xdr:grpSpPr>
          <a:xfrm>
            <a:off x="600075" y="7429501"/>
            <a:ext cx="1352550" cy="609600"/>
            <a:chOff x="581025" y="5353050"/>
            <a:chExt cx="1352550" cy="672495"/>
          </a:xfrm>
          <a:grpFill/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581025" y="5353050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lang="fr-FR" sz="8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Quality =</a:t>
              </a:r>
            </a:p>
          </xdr:txBody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/>
          </xdr:nvSpPr>
          <xdr:spPr>
            <a:xfrm>
              <a:off x="581025" y="5686424"/>
              <a:ext cx="1352550" cy="339121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8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Of shifts </a:t>
              </a:r>
              <a:r>
                <a:rPr lang="fr-FR" sz="1100"/>
                <a:t>=</a:t>
              </a:r>
            </a:p>
          </xdr:txBody>
        </xdr:sp>
      </xdr:grpSp>
    </xdr:grpSp>
    <xdr:clientData/>
  </xdr:twoCellAnchor>
  <xdr:twoCellAnchor>
    <xdr:from>
      <xdr:col>4</xdr:col>
      <xdr:colOff>619125</xdr:colOff>
      <xdr:row>14</xdr:row>
      <xdr:rowOff>304801</xdr:rowOff>
    </xdr:from>
    <xdr:to>
      <xdr:col>6</xdr:col>
      <xdr:colOff>276225</xdr:colOff>
      <xdr:row>15</xdr:row>
      <xdr:rowOff>151524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5159375" y="5099051"/>
          <a:ext cx="1689100" cy="291223"/>
        </a:xfrm>
        <a:prstGeom prst="rect">
          <a:avLst/>
        </a:prstGeom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C/T=</a:t>
          </a:r>
          <a:endParaRPr lang="fr-FR">
            <a:effectLst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4</xdr:col>
      <xdr:colOff>619125</xdr:colOff>
      <xdr:row>14</xdr:row>
      <xdr:rowOff>1</xdr:rowOff>
    </xdr:from>
    <xdr:to>
      <xdr:col>6</xdr:col>
      <xdr:colOff>276225</xdr:colOff>
      <xdr:row>19</xdr:row>
      <xdr:rowOff>65799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  <a:ext uri="{147F2762-F138-4A5C-976F-8EAC2B608ADB}">
              <a16:predDERef xmlns:a16="http://schemas.microsoft.com/office/drawing/2014/main" pred="{00000000-0008-0000-0000-000032000000}"/>
            </a:ext>
          </a:extLst>
        </xdr:cNvPr>
        <xdr:cNvGrpSpPr/>
      </xdr:nvGrpSpPr>
      <xdr:grpSpPr>
        <a:xfrm>
          <a:off x="5267325" y="4876801"/>
          <a:ext cx="1714500" cy="2351798"/>
          <a:chOff x="4238625" y="5095876"/>
          <a:chExt cx="1352550" cy="2256548"/>
        </a:xfrm>
        <a:solidFill>
          <a:schemeClr val="accent4">
            <a:lumMod val="60000"/>
            <a:lumOff val="40000"/>
          </a:schemeClr>
        </a:solidFill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4238625" y="5381626"/>
            <a:ext cx="1352550" cy="1685932"/>
            <a:chOff x="600075" y="6219829"/>
            <a:chExt cx="1352550" cy="1819284"/>
          </a:xfrm>
          <a:grpFill/>
        </xdr:grpSpPr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600075" y="6219829"/>
              <a:ext cx="1352550" cy="1200149"/>
              <a:chOff x="581025" y="5353050"/>
              <a:chExt cx="1352550" cy="1323973"/>
            </a:xfrm>
            <a:grpFill/>
          </xdr:grpSpPr>
          <xdr:sp macro="" textlink="">
            <xdr:nvSpPr>
              <xdr:cNvPr id="41" name="Rectangle 40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SpPr/>
            </xdr:nvSpPr>
            <xdr:spPr>
              <a:xfrm>
                <a:off x="581025" y="5353050"/>
                <a:ext cx="1352550" cy="33337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fr-FR" sz="800"/>
                  <a:t>C/T=</a:t>
                </a:r>
              </a:p>
            </xdr:txBody>
          </xdr:sp>
          <xdr:sp macro="" textlink="">
            <xdr:nvSpPr>
              <xdr:cNvPr id="42" name="Rectangle 41">
                <a:extLst>
                  <a:ext uri="{FF2B5EF4-FFF2-40B4-BE49-F238E27FC236}">
                    <a16:creationId xmlns:a16="http://schemas.microsoft.com/office/drawing/2014/main" id="{00000000-0008-0000-0000-00002A000000}"/>
                  </a:ext>
                </a:extLst>
              </xdr:cNvPr>
              <xdr:cNvSpPr/>
            </xdr:nvSpPr>
            <xdr:spPr>
              <a:xfrm>
                <a:off x="581025" y="5686425"/>
                <a:ext cx="1352550" cy="33337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l"/>
                <a:r>
                  <a:rPr lang="fr-FR" sz="8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P/T=</a:t>
                </a:r>
              </a:p>
            </xdr:txBody>
          </xdr:sp>
          <xdr:sp macro="" textlink="">
            <xdr:nvSpPr>
              <xdr:cNvPr id="43" name="Rectangle 42">
                <a:extLst>
                  <a:ext uri="{FF2B5EF4-FFF2-40B4-BE49-F238E27FC236}">
                    <a16:creationId xmlns:a16="http://schemas.microsoft.com/office/drawing/2014/main" id="{00000000-0008-0000-0000-00002B000000}"/>
                  </a:ext>
                </a:extLst>
              </xdr:cNvPr>
              <xdr:cNvSpPr/>
            </xdr:nvSpPr>
            <xdr:spPr>
              <a:xfrm>
                <a:off x="581025" y="6010275"/>
                <a:ext cx="1352550" cy="33337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l"/>
                <a:r>
                  <a:rPr lang="fr-FR" sz="8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C O =</a:t>
                </a:r>
              </a:p>
            </xdr:txBody>
          </xdr:sp>
          <xdr:sp macro="" textlink="">
            <xdr:nvSpPr>
              <xdr:cNvPr id="44" name="Rectangle 43">
                <a:extLst>
                  <a:ext uri="{FF2B5EF4-FFF2-40B4-BE49-F238E27FC236}">
                    <a16:creationId xmlns:a16="http://schemas.microsoft.com/office/drawing/2014/main" id="{00000000-0008-0000-0000-00002C000000}"/>
                  </a:ext>
                </a:extLst>
              </xdr:cNvPr>
              <xdr:cNvSpPr/>
            </xdr:nvSpPr>
            <xdr:spPr>
              <a:xfrm>
                <a:off x="581025" y="6343649"/>
                <a:ext cx="1352550" cy="333374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fr-FR" sz="8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Uptime</a:t>
                </a:r>
                <a:r>
                  <a:rPr lang="fr-FR" sz="1100"/>
                  <a:t> =</a:t>
                </a:r>
              </a:p>
            </xdr:txBody>
          </xdr:sp>
        </xdr:grpSp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GrpSpPr/>
          </xdr:nvGrpSpPr>
          <xdr:grpSpPr>
            <a:xfrm>
              <a:off x="600075" y="7429507"/>
              <a:ext cx="1352550" cy="609606"/>
              <a:chOff x="581025" y="5353051"/>
              <a:chExt cx="1352550" cy="672501"/>
            </a:xfrm>
            <a:grpFill/>
          </xdr:grpSpPr>
          <xdr:sp macro="" textlink="">
            <xdr:nvSpPr>
              <xdr:cNvPr id="39" name="Rectangle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581025" y="5353051"/>
                <a:ext cx="1352550" cy="333376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r>
                  <a:rPr lang="fr-FR" sz="8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Quality =</a:t>
                </a:r>
              </a:p>
            </xdr:txBody>
          </xdr:sp>
          <xdr:sp macro="" textlink="">
            <xdr:nvSpPr>
              <xdr:cNvPr id="40" name="Rectangle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SpPr/>
            </xdr:nvSpPr>
            <xdr:spPr>
              <a:xfrm>
                <a:off x="581025" y="5686430"/>
                <a:ext cx="1352550" cy="339122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fr-FR" sz="8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Of shifts </a:t>
                </a:r>
                <a:r>
                  <a:rPr lang="fr-FR" sz="1100"/>
                  <a:t>=</a:t>
                </a:r>
              </a:p>
            </xdr:txBody>
          </xdr:sp>
        </xdr:grpSp>
      </xdr:grpSp>
      <xdr:sp macro="" textlink="">
        <xdr:nvSpPr>
          <xdr:cNvPr id="51" name="Rectangle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4238625" y="5095876"/>
            <a:ext cx="1352550" cy="284873"/>
          </a:xfrm>
          <a:prstGeom prst="rect">
            <a:avLst/>
          </a:prstGeom>
          <a:grpFill/>
          <a:ln w="381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8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Takt </a:t>
            </a:r>
            <a:r>
              <a:rPr lang="fr-FR" sz="1100"/>
              <a:t>=</a:t>
            </a:r>
          </a:p>
        </xdr:txBody>
      </xdr:sp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>
            <a:off x="4238625" y="7067551"/>
            <a:ext cx="1352550" cy="284873"/>
          </a:xfrm>
          <a:prstGeom prst="rect">
            <a:avLst/>
          </a:prstGeom>
          <a:grpFill/>
          <a:ln w="381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8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EPEI</a:t>
            </a:r>
            <a:r>
              <a:rPr lang="fr-FR" sz="800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</a:t>
            </a:r>
            <a:r>
              <a:rPr lang="fr-FR" sz="1100"/>
              <a:t>=</a:t>
            </a:r>
          </a:p>
        </xdr:txBody>
      </xdr:sp>
    </xdr:grpSp>
    <xdr:clientData/>
  </xdr:twoCellAnchor>
  <xdr:twoCellAnchor>
    <xdr:from>
      <xdr:col>0</xdr:col>
      <xdr:colOff>514350</xdr:colOff>
      <xdr:row>24</xdr:row>
      <xdr:rowOff>390525</xdr:rowOff>
    </xdr:from>
    <xdr:to>
      <xdr:col>2</xdr:col>
      <xdr:colOff>304800</xdr:colOff>
      <xdr:row>28</xdr:row>
      <xdr:rowOff>47625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514350" y="9839325"/>
          <a:ext cx="2609850" cy="1485900"/>
          <a:chOff x="600075" y="7658100"/>
          <a:chExt cx="1714500" cy="1409700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590550" y="7658099"/>
              <a:ext cx="1714500" cy="39052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6" name="Oval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solidFill>
              <a:srgbClr val="FFC000"/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58" name="Freeform: Shap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no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</xdr:col>
      <xdr:colOff>260350</xdr:colOff>
      <xdr:row>25</xdr:row>
      <xdr:rowOff>276225</xdr:rowOff>
    </xdr:from>
    <xdr:to>
      <xdr:col>6</xdr:col>
      <xdr:colOff>450850</xdr:colOff>
      <xdr:row>29</xdr:row>
      <xdr:rowOff>133350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pSpPr/>
      </xdr:nvGrpSpPr>
      <xdr:grpSpPr>
        <a:xfrm>
          <a:off x="4908550" y="10182225"/>
          <a:ext cx="2247900" cy="1685925"/>
          <a:chOff x="3143250" y="8191500"/>
          <a:chExt cx="1885950" cy="1609725"/>
        </a:xfrm>
      </xdr:grpSpPr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</xdr:grpSpPr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</xdr:grpSpPr>
          <xdr:sp macro="" textlink="">
            <xdr:nvSpPr>
              <xdr:cNvPr id="70" name="Rectangle 69">
                <a:extLst>
                  <a:ext uri="{FF2B5EF4-FFF2-40B4-BE49-F238E27FC236}">
                    <a16:creationId xmlns:a16="http://schemas.microsoft.com/office/drawing/2014/main" id="{00000000-0008-0000-0000-000046000000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1" name="Rectangle 70">
                <a:extLst>
                  <a:ext uri="{FF2B5EF4-FFF2-40B4-BE49-F238E27FC236}">
                    <a16:creationId xmlns:a16="http://schemas.microsoft.com/office/drawing/2014/main" id="{00000000-0008-0000-0000-000047000000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2" name="Oval 71">
                <a:extLst>
                  <a:ext uri="{FF2B5EF4-FFF2-40B4-BE49-F238E27FC236}">
                    <a16:creationId xmlns:a16="http://schemas.microsoft.com/office/drawing/2014/main" id="{00000000-0008-0000-0000-000048000000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69" name="Freeform: Shape 68">
              <a:extLst>
                <a:ext uri="{FF2B5EF4-FFF2-40B4-BE49-F238E27FC236}">
                  <a16:creationId xmlns:a16="http://schemas.microsoft.com/office/drawing/2014/main" id="{00000000-0008-0000-0000-000045000000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GrpSpPr/>
        </xdr:nvGrpSpPr>
        <xdr:grpSpPr>
          <a:xfrm>
            <a:off x="3143250" y="8391525"/>
            <a:ext cx="1714500" cy="1409700"/>
            <a:chOff x="600075" y="7658100"/>
            <a:chExt cx="1714500" cy="1409700"/>
          </a:xfrm>
        </xdr:grpSpPr>
        <xdr:grpSp>
          <xdr:nvGrpSpPr>
            <xdr:cNvPr id="62" name="Group 6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</xdr:grpSpPr>
          <xdr:sp macro="" textlink="">
            <xdr:nvSpPr>
              <xdr:cNvPr id="64" name="Rectangle 63">
                <a:extLst>
                  <a:ext uri="{FF2B5EF4-FFF2-40B4-BE49-F238E27FC236}">
                    <a16:creationId xmlns:a16="http://schemas.microsoft.com/office/drawing/2014/main" id="{00000000-0008-0000-0000-000040000000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5" name="Rectangle 64">
                <a:extLst>
                  <a:ext uri="{FF2B5EF4-FFF2-40B4-BE49-F238E27FC236}">
                    <a16:creationId xmlns:a16="http://schemas.microsoft.com/office/drawing/2014/main" id="{00000000-0008-0000-0000-000041000000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6" name="Oval 65">
                <a:extLst>
                  <a:ext uri="{FF2B5EF4-FFF2-40B4-BE49-F238E27FC236}">
                    <a16:creationId xmlns:a16="http://schemas.microsoft.com/office/drawing/2014/main" id="{00000000-0008-0000-0000-000042000000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63" name="Freeform: Shape 62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0</xdr:col>
      <xdr:colOff>283013</xdr:colOff>
      <xdr:row>29</xdr:row>
      <xdr:rowOff>425413</xdr:rowOff>
    </xdr:from>
    <xdr:to>
      <xdr:col>2</xdr:col>
      <xdr:colOff>92513</xdr:colOff>
      <xdr:row>33</xdr:row>
      <xdr:rowOff>82513</xdr:rowOff>
    </xdr:to>
    <xdr:grpSp>
      <xdr:nvGrpSpPr>
        <xdr:cNvPr id="107" name="Group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GrpSpPr/>
      </xdr:nvGrpSpPr>
      <xdr:grpSpPr>
        <a:xfrm>
          <a:off x="283013" y="12160213"/>
          <a:ext cx="2628900" cy="1485900"/>
          <a:chOff x="561975" y="10915650"/>
          <a:chExt cx="1733550" cy="1409700"/>
        </a:xfrm>
      </xdr:grpSpPr>
      <xdr:grpSp>
        <xdr:nvGrpSpPr>
          <xdr:cNvPr id="74" name="Group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GrpSpPr/>
        </xdr:nvGrpSpPr>
        <xdr:grpSpPr>
          <a:xfrm>
            <a:off x="561975" y="10915650"/>
            <a:ext cx="1714500" cy="1409700"/>
            <a:chOff x="600075" y="7658100"/>
            <a:chExt cx="1714500" cy="1409700"/>
          </a:xfrm>
        </xdr:grpSpPr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id="{00000000-0008-0000-0000-00004B000000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</xdr:grpSpPr>
          <xdr:sp macro="" textlink="">
            <xdr:nvSpPr>
              <xdr:cNvPr id="77" name="Rectangle 76">
                <a:extLst>
                  <a:ext uri="{FF2B5EF4-FFF2-40B4-BE49-F238E27FC236}">
                    <a16:creationId xmlns:a16="http://schemas.microsoft.com/office/drawing/2014/main" id="{00000000-0008-0000-0000-00004D000000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8" name="Rectangle 77">
                <a:extLst>
                  <a:ext uri="{FF2B5EF4-FFF2-40B4-BE49-F238E27FC236}">
                    <a16:creationId xmlns:a16="http://schemas.microsoft.com/office/drawing/2014/main" id="{00000000-0008-0000-0000-00004E000000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9" name="Oval 78">
                <a:extLst>
                  <a:ext uri="{FF2B5EF4-FFF2-40B4-BE49-F238E27FC236}">
                    <a16:creationId xmlns:a16="http://schemas.microsoft.com/office/drawing/2014/main" id="{00000000-0008-0000-0000-00004F000000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solidFill>
                <a:srgbClr val="FFC000"/>
              </a:solidFill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76" name="Freeform: Shape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no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cxnSp macro="">
        <xdr:nvCxnSpPr>
          <xdr:cNvPr id="83" name="Straight Connector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590550" y="11468100"/>
            <a:ext cx="1704975" cy="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CxnSpPr>
            <a:endCxn id="77" idx="3"/>
          </xdr:cNvCxnSpPr>
        </xdr:nvCxnSpPr>
        <xdr:spPr>
          <a:xfrm flipV="1">
            <a:off x="571500" y="11620500"/>
            <a:ext cx="1704975" cy="1905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 flipV="1">
            <a:off x="561975" y="11772900"/>
            <a:ext cx="1704975" cy="1905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 flipV="1">
            <a:off x="561975" y="11906250"/>
            <a:ext cx="1704975" cy="1905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1162050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2" name="Straight Connector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857250" y="11325225"/>
            <a:ext cx="9525" cy="60960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CxnSpPr/>
        </xdr:nvCxnSpPr>
        <xdr:spPr>
          <a:xfrm>
            <a:off x="704850" y="11315700"/>
            <a:ext cx="9525" cy="60960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5" name="Straight Connector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000125" y="11325225"/>
            <a:ext cx="9525" cy="609600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6" name="Straight Connector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295400" y="11334750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7" name="Straight Connector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447800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8" name="Straight Connector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600200" y="11334750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733550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00" name="Straight Connector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857375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01" name="Straight Connector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990725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02" name="Straight Connector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CxnSpPr/>
        </xdr:nvCxnSpPr>
        <xdr:spPr>
          <a:xfrm>
            <a:off x="2114550" y="11325225"/>
            <a:ext cx="19050" cy="98107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03" name="Straight Connector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CxnSpPr/>
        </xdr:nvCxnSpPr>
        <xdr:spPr>
          <a:xfrm flipH="1">
            <a:off x="1181100" y="12039600"/>
            <a:ext cx="1114425" cy="952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CxnSpPr/>
        </xdr:nvCxnSpPr>
        <xdr:spPr>
          <a:xfrm flipH="1">
            <a:off x="1162050" y="12172950"/>
            <a:ext cx="1114425" cy="9525"/>
          </a:xfrm>
          <a:prstGeom prst="line">
            <a:avLst/>
          </a:prstGeom>
          <a:ln w="38100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723900</xdr:colOff>
      <xdr:row>19</xdr:row>
      <xdr:rowOff>342906</xdr:rowOff>
    </xdr:from>
    <xdr:to>
      <xdr:col>2</xdr:col>
      <xdr:colOff>152400</xdr:colOff>
      <xdr:row>22</xdr:row>
      <xdr:rowOff>429500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GrpSpPr/>
      </xdr:nvGrpSpPr>
      <xdr:grpSpPr>
        <a:xfrm>
          <a:off x="723900" y="7505706"/>
          <a:ext cx="2247900" cy="1458194"/>
          <a:chOff x="600075" y="6219833"/>
          <a:chExt cx="1352550" cy="1511862"/>
        </a:xfrm>
        <a:solidFill>
          <a:schemeClr val="accent4">
            <a:lumMod val="60000"/>
            <a:lumOff val="40000"/>
          </a:schemeClr>
        </a:solidFill>
      </xdr:grpSpPr>
      <xdr:grpSp>
        <xdr:nvGrpSpPr>
          <xdr:cNvPr id="118" name="Group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GrpSpPr/>
        </xdr:nvGrpSpPr>
        <xdr:grpSpPr>
          <a:xfrm>
            <a:off x="600075" y="6219833"/>
            <a:ext cx="1352550" cy="1200150"/>
            <a:chOff x="581025" y="5353050"/>
            <a:chExt cx="1352550" cy="1323973"/>
          </a:xfrm>
          <a:grpFill/>
        </xdr:grpSpPr>
        <xdr:sp macro="" textlink="">
          <xdr:nvSpPr>
            <xdr:cNvPr id="122" name="Rectangle 121">
              <a:extLst>
                <a:ext uri="{FF2B5EF4-FFF2-40B4-BE49-F238E27FC236}">
                  <a16:creationId xmlns:a16="http://schemas.microsoft.com/office/drawing/2014/main" id="{00000000-0008-0000-0000-00007A000000}"/>
                </a:ext>
              </a:extLst>
            </xdr:cNvPr>
            <xdr:cNvSpPr/>
          </xdr:nvSpPr>
          <xdr:spPr>
            <a:xfrm>
              <a:off x="581025" y="5353050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l"/>
              <a:endParaRPr lang="fr-FR" sz="800"/>
            </a:p>
          </xdr:txBody>
        </xdr:sp>
        <xdr:sp macro="" textlink="">
          <xdr:nvSpPr>
            <xdr:cNvPr id="123" name="Rectangle 122">
              <a:extLst>
                <a:ext uri="{FF2B5EF4-FFF2-40B4-BE49-F238E27FC236}">
                  <a16:creationId xmlns:a16="http://schemas.microsoft.com/office/drawing/2014/main" id="{00000000-0008-0000-0000-00007B000000}"/>
                </a:ext>
              </a:extLst>
            </xdr:cNvPr>
            <xdr:cNvSpPr/>
          </xdr:nvSpPr>
          <xdr:spPr>
            <a:xfrm>
              <a:off x="581025" y="5686425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endParaRPr lang="fr-FR" sz="80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24" name="Rectangle 123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SpPr/>
          </xdr:nvSpPr>
          <xdr:spPr>
            <a:xfrm>
              <a:off x="581025" y="6010275"/>
              <a:ext cx="1352550" cy="333375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endParaRPr lang="fr-FR" sz="80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25" name="Rectangle 124">
              <a:extLst>
                <a:ext uri="{FF2B5EF4-FFF2-40B4-BE49-F238E27FC236}">
                  <a16:creationId xmlns:a16="http://schemas.microsoft.com/office/drawing/2014/main" id="{00000000-0008-0000-0000-00007D000000}"/>
                </a:ext>
              </a:extLst>
            </xdr:cNvPr>
            <xdr:cNvSpPr/>
          </xdr:nvSpPr>
          <xdr:spPr>
            <a:xfrm>
              <a:off x="581025" y="6343649"/>
              <a:ext cx="1352550" cy="333374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20" name="Rectangle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/>
        </xdr:nvSpPr>
        <xdr:spPr>
          <a:xfrm>
            <a:off x="600075" y="7429499"/>
            <a:ext cx="1352550" cy="302196"/>
          </a:xfrm>
          <a:prstGeom prst="rect">
            <a:avLst/>
          </a:prstGeom>
          <a:grpFill/>
          <a:ln w="381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80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4</xdr:col>
      <xdr:colOff>581025</xdr:colOff>
      <xdr:row>19</xdr:row>
      <xdr:rowOff>419100</xdr:rowOff>
    </xdr:from>
    <xdr:to>
      <xdr:col>6</xdr:col>
      <xdr:colOff>361950</xdr:colOff>
      <xdr:row>23</xdr:row>
      <xdr:rowOff>85725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GrpSpPr/>
      </xdr:nvGrpSpPr>
      <xdr:grpSpPr>
        <a:xfrm>
          <a:off x="5229225" y="7581900"/>
          <a:ext cx="1838325" cy="1495425"/>
          <a:chOff x="4276725" y="7419975"/>
          <a:chExt cx="1724025" cy="1419225"/>
        </a:xfrm>
      </xdr:grpSpPr>
      <xdr:grpSp>
        <xdr:nvGrpSpPr>
          <xdr:cNvPr id="159" name="Group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GrpSpPr/>
        </xdr:nvGrpSpPr>
        <xdr:grpSpPr>
          <a:xfrm>
            <a:off x="4276725" y="7419975"/>
            <a:ext cx="1724025" cy="1409700"/>
            <a:chOff x="4114800" y="7886700"/>
            <a:chExt cx="1724025" cy="1409700"/>
          </a:xfrm>
        </xdr:grpSpPr>
        <xdr:grpSp>
          <xdr:nvGrpSpPr>
            <xdr:cNvPr id="126" name="Group 125">
              <a:extLst>
                <a:ext uri="{FF2B5EF4-FFF2-40B4-BE49-F238E27FC236}">
                  <a16:creationId xmlns:a16="http://schemas.microsoft.com/office/drawing/2014/main" id="{00000000-0008-0000-0000-00007E000000}"/>
                </a:ext>
              </a:extLst>
            </xdr:cNvPr>
            <xdr:cNvGrpSpPr/>
          </xdr:nvGrpSpPr>
          <xdr:grpSpPr>
            <a:xfrm>
              <a:off x="4124325" y="7886700"/>
              <a:ext cx="1714500" cy="1409700"/>
              <a:chOff x="600075" y="7658100"/>
              <a:chExt cx="1714500" cy="1409700"/>
            </a:xfrm>
          </xdr:grpSpPr>
          <xdr:grpSp>
            <xdr:nvGrpSpPr>
              <xdr:cNvPr id="127" name="Group 126">
                <a:extLst>
                  <a:ext uri="{FF2B5EF4-FFF2-40B4-BE49-F238E27FC236}">
                    <a16:creationId xmlns:a16="http://schemas.microsoft.com/office/drawing/2014/main" id="{00000000-0008-0000-0000-00007F000000}"/>
                  </a:ext>
                </a:extLst>
              </xdr:cNvPr>
              <xdr:cNvGrpSpPr/>
            </xdr:nvGrpSpPr>
            <xdr:grpSpPr>
              <a:xfrm>
                <a:off x="600075" y="7658100"/>
                <a:ext cx="1714500" cy="1409700"/>
                <a:chOff x="590550" y="7648575"/>
                <a:chExt cx="1714500" cy="1409700"/>
              </a:xfrm>
            </xdr:grpSpPr>
            <xdr:sp macro="" textlink="">
              <xdr:nvSpPr>
                <xdr:cNvPr id="129" name="Rectangle 128">
                  <a:extLst>
                    <a:ext uri="{FF2B5EF4-FFF2-40B4-BE49-F238E27FC236}">
                      <a16:creationId xmlns:a16="http://schemas.microsoft.com/office/drawing/2014/main" id="{00000000-0008-0000-0000-000081000000}"/>
                    </a:ext>
                  </a:extLst>
                </xdr:cNvPr>
                <xdr:cNvSpPr/>
              </xdr:nvSpPr>
              <xdr:spPr>
                <a:xfrm>
                  <a:off x="600075" y="7648575"/>
                  <a:ext cx="1704975" cy="1409700"/>
                </a:xfrm>
                <a:prstGeom prst="rect">
                  <a:avLst/>
                </a:prstGeom>
                <a:solidFill>
                  <a:schemeClr val="accent4">
                    <a:lumMod val="60000"/>
                    <a:lumOff val="40000"/>
                  </a:schemeClr>
                </a:solidFill>
                <a:ln w="38100"/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130" name="Rectangle 129">
                  <a:extLst>
                    <a:ext uri="{FF2B5EF4-FFF2-40B4-BE49-F238E27FC236}">
                      <a16:creationId xmlns:a16="http://schemas.microsoft.com/office/drawing/2014/main" id="{00000000-0008-0000-0000-000082000000}"/>
                    </a:ext>
                  </a:extLst>
                </xdr:cNvPr>
                <xdr:cNvSpPr/>
              </xdr:nvSpPr>
              <xdr:spPr>
                <a:xfrm>
                  <a:off x="590550" y="7658099"/>
                  <a:ext cx="1714500" cy="390525"/>
                </a:xfrm>
                <a:prstGeom prst="rect">
                  <a:avLst/>
                </a:prstGeom>
                <a:solidFill>
                  <a:schemeClr val="accent4">
                    <a:lumMod val="60000"/>
                    <a:lumOff val="40000"/>
                  </a:schemeClr>
                </a:solidFill>
                <a:ln w="38100"/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131" name="Oval 130">
                  <a:extLst>
                    <a:ext uri="{FF2B5EF4-FFF2-40B4-BE49-F238E27FC236}">
                      <a16:creationId xmlns:a16="http://schemas.microsoft.com/office/drawing/2014/main" id="{00000000-0008-0000-0000-000083000000}"/>
                    </a:ext>
                  </a:extLst>
                </xdr:cNvPr>
                <xdr:cNvSpPr/>
              </xdr:nvSpPr>
              <xdr:spPr>
                <a:xfrm>
                  <a:off x="676275" y="8753475"/>
                  <a:ext cx="238125" cy="171450"/>
                </a:xfrm>
                <a:prstGeom prst="ellipse">
                  <a:avLst/>
                </a:prstGeom>
                <a:solidFill>
                  <a:srgbClr val="FFC000"/>
                </a:solidFill>
                <a:ln w="38100"/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</xdr:grpSp>
          <xdr:sp macro="" textlink="">
            <xdr:nvSpPr>
              <xdr:cNvPr id="128" name="Freeform: Shape 127">
                <a:extLst>
                  <a:ext uri="{FF2B5EF4-FFF2-40B4-BE49-F238E27FC236}">
                    <a16:creationId xmlns:a16="http://schemas.microsoft.com/office/drawing/2014/main" id="{00000000-0008-0000-0000-000080000000}"/>
                  </a:ext>
                </a:extLst>
              </xdr:cNvPr>
              <xdr:cNvSpPr/>
            </xdr:nvSpPr>
            <xdr:spPr>
              <a:xfrm>
                <a:off x="657225" y="8886825"/>
                <a:ext cx="304800" cy="123825"/>
              </a:xfrm>
              <a:custGeom>
                <a:avLst/>
                <a:gdLst>
                  <a:gd name="connsiteX0" fmla="*/ 0 w 304800"/>
                  <a:gd name="connsiteY0" fmla="*/ 28575 h 123825"/>
                  <a:gd name="connsiteX1" fmla="*/ 28575 w 304800"/>
                  <a:gd name="connsiteY1" fmla="*/ 104775 h 123825"/>
                  <a:gd name="connsiteX2" fmla="*/ 161925 w 304800"/>
                  <a:gd name="connsiteY2" fmla="*/ 123825 h 123825"/>
                  <a:gd name="connsiteX3" fmla="*/ 257175 w 304800"/>
                  <a:gd name="connsiteY3" fmla="*/ 95250 h 123825"/>
                  <a:gd name="connsiteX4" fmla="*/ 285750 w 304800"/>
                  <a:gd name="connsiteY4" fmla="*/ 38100 h 123825"/>
                  <a:gd name="connsiteX5" fmla="*/ 304800 w 304800"/>
                  <a:gd name="connsiteY5" fmla="*/ 0 h 123825"/>
                  <a:gd name="connsiteX6" fmla="*/ 295275 w 304800"/>
                  <a:gd name="connsiteY6" fmla="*/ 0 h 1238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304800" h="123825">
                    <a:moveTo>
                      <a:pt x="0" y="28575"/>
                    </a:moveTo>
                    <a:lnTo>
                      <a:pt x="28575" y="104775"/>
                    </a:lnTo>
                    <a:lnTo>
                      <a:pt x="161925" y="123825"/>
                    </a:lnTo>
                    <a:lnTo>
                      <a:pt x="257175" y="95250"/>
                    </a:lnTo>
                    <a:lnTo>
                      <a:pt x="285750" y="38100"/>
                    </a:lnTo>
                    <a:lnTo>
                      <a:pt x="304800" y="0"/>
                    </a:lnTo>
                    <a:lnTo>
                      <a:pt x="295275" y="0"/>
                    </a:lnTo>
                  </a:path>
                </a:pathLst>
              </a:custGeom>
              <a:no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cxnSp macro="">
          <xdr:nvCxnSpPr>
            <xdr:cNvPr id="138" name="Straight Connector 137">
              <a:extLst>
                <a:ext uri="{FF2B5EF4-FFF2-40B4-BE49-F238E27FC236}">
                  <a16:creationId xmlns:a16="http://schemas.microsoft.com/office/drawing/2014/main" id="{00000000-0008-0000-0000-00008A000000}"/>
                </a:ext>
              </a:extLst>
            </xdr:cNvPr>
            <xdr:cNvCxnSpPr/>
          </xdr:nvCxnSpPr>
          <xdr:spPr>
            <a:xfrm flipV="1">
              <a:off x="4114800" y="8286750"/>
              <a:ext cx="247650" cy="190500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40" name="Straight Connector 139">
              <a:extLst>
                <a:ext uri="{FF2B5EF4-FFF2-40B4-BE49-F238E27FC236}">
                  <a16:creationId xmlns:a16="http://schemas.microsoft.com/office/drawing/2014/main" id="{00000000-0008-0000-0000-00008C000000}"/>
                </a:ext>
              </a:extLst>
            </xdr:cNvPr>
            <xdr:cNvCxnSpPr>
              <a:endCxn id="130" idx="2"/>
            </xdr:cNvCxnSpPr>
          </xdr:nvCxnSpPr>
          <xdr:spPr>
            <a:xfrm flipV="1">
              <a:off x="4267200" y="8286749"/>
              <a:ext cx="714375" cy="628651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41" name="Straight Connector 140">
              <a:extLst>
                <a:ext uri="{FF2B5EF4-FFF2-40B4-BE49-F238E27FC236}">
                  <a16:creationId xmlns:a16="http://schemas.microsoft.com/office/drawing/2014/main" id="{00000000-0008-0000-0000-00008D000000}"/>
                </a:ext>
              </a:extLst>
            </xdr:cNvPr>
            <xdr:cNvCxnSpPr/>
          </xdr:nvCxnSpPr>
          <xdr:spPr>
            <a:xfrm flipV="1">
              <a:off x="4133850" y="8296275"/>
              <a:ext cx="542925" cy="466725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48" name="Straight Connector 147">
              <a:extLst>
                <a:ext uri="{FF2B5EF4-FFF2-40B4-BE49-F238E27FC236}">
                  <a16:creationId xmlns:a16="http://schemas.microsoft.com/office/drawing/2014/main" id="{00000000-0008-0000-0000-000094000000}"/>
                </a:ext>
              </a:extLst>
            </xdr:cNvPr>
            <xdr:cNvCxnSpPr/>
          </xdr:nvCxnSpPr>
          <xdr:spPr>
            <a:xfrm flipV="1">
              <a:off x="4524375" y="8277225"/>
              <a:ext cx="714375" cy="666750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000-000096000000}"/>
                </a:ext>
              </a:extLst>
            </xdr:cNvPr>
            <xdr:cNvCxnSpPr/>
          </xdr:nvCxnSpPr>
          <xdr:spPr>
            <a:xfrm flipV="1">
              <a:off x="4676775" y="8296275"/>
              <a:ext cx="819150" cy="800100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53" name="Straight Connector 152">
              <a:extLst>
                <a:ext uri="{FF2B5EF4-FFF2-40B4-BE49-F238E27FC236}">
                  <a16:creationId xmlns:a16="http://schemas.microsoft.com/office/drawing/2014/main" id="{00000000-0008-0000-0000-000099000000}"/>
                </a:ext>
              </a:extLst>
            </xdr:cNvPr>
            <xdr:cNvCxnSpPr/>
          </xdr:nvCxnSpPr>
          <xdr:spPr>
            <a:xfrm flipV="1">
              <a:off x="4781550" y="8296275"/>
              <a:ext cx="1028700" cy="1000125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55" name="Straight Connector 154">
              <a:extLst>
                <a:ext uri="{FF2B5EF4-FFF2-40B4-BE49-F238E27FC236}">
                  <a16:creationId xmlns:a16="http://schemas.microsoft.com/office/drawing/2014/main" id="{00000000-0008-0000-0000-00009B000000}"/>
                </a:ext>
              </a:extLst>
            </xdr:cNvPr>
            <xdr:cNvCxnSpPr>
              <a:endCxn id="129" idx="3"/>
            </xdr:cNvCxnSpPr>
          </xdr:nvCxnSpPr>
          <xdr:spPr>
            <a:xfrm flipV="1">
              <a:off x="5076825" y="8591550"/>
              <a:ext cx="762000" cy="704850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57" name="Straight Connector 156">
              <a:extLst>
                <a:ext uri="{FF2B5EF4-FFF2-40B4-BE49-F238E27FC236}">
                  <a16:creationId xmlns:a16="http://schemas.microsoft.com/office/drawing/2014/main" id="{00000000-0008-0000-0000-00009D000000}"/>
                </a:ext>
              </a:extLst>
            </xdr:cNvPr>
            <xdr:cNvCxnSpPr/>
          </xdr:nvCxnSpPr>
          <xdr:spPr>
            <a:xfrm flipV="1">
              <a:off x="5410200" y="8905875"/>
              <a:ext cx="409575" cy="390525"/>
            </a:xfrm>
            <a:prstGeom prst="line">
              <a:avLst/>
            </a:prstGeom>
            <a:ln w="28575"/>
          </xdr:spPr>
          <xdr:style>
            <a:lnRef idx="3">
              <a:schemeClr val="dk1"/>
            </a:lnRef>
            <a:fillRef idx="0">
              <a:schemeClr val="dk1"/>
            </a:fillRef>
            <a:effectRef idx="2">
              <a:schemeClr val="dk1"/>
            </a:effectRef>
            <a:fontRef idx="minor">
              <a:schemeClr val="tx1"/>
            </a:fontRef>
          </xdr:style>
        </xdr:cxnSp>
      </xdr:grpSp>
      <xdr:cxnSp macro="">
        <xdr:nvCxnSpPr>
          <xdr:cNvPr id="133" name="Straight Connector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CxnSpPr/>
        </xdr:nvCxnSpPr>
        <xdr:spPr>
          <a:xfrm>
            <a:off x="4295775" y="8467725"/>
            <a:ext cx="533400" cy="9525"/>
          </a:xfrm>
          <a:prstGeom prst="line">
            <a:avLst/>
          </a:prstGeom>
          <a:ln w="28575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34" name="Straight Connector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CxnSpPr/>
        </xdr:nvCxnSpPr>
        <xdr:spPr>
          <a:xfrm flipV="1">
            <a:off x="4829175" y="8486775"/>
            <a:ext cx="0" cy="352425"/>
          </a:xfrm>
          <a:prstGeom prst="line">
            <a:avLst/>
          </a:prstGeom>
          <a:ln w="28575"/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38100</xdr:colOff>
      <xdr:row>8</xdr:row>
      <xdr:rowOff>409575</xdr:rowOff>
    </xdr:from>
    <xdr:to>
      <xdr:col>6</xdr:col>
      <xdr:colOff>9525</xdr:colOff>
      <xdr:row>9</xdr:row>
      <xdr:rowOff>295275</xdr:rowOff>
    </xdr:to>
    <xdr:sp macro="" textlink="">
      <xdr:nvSpPr>
        <xdr:cNvPr id="168" name="Arrow: Right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5467350" y="2536825"/>
          <a:ext cx="1114425" cy="330200"/>
        </a:xfrm>
        <a:prstGeom prst="rightArrow">
          <a:avLst/>
        </a:prstGeom>
        <a:solidFill>
          <a:schemeClr val="bg1"/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19050</xdr:colOff>
      <xdr:row>9</xdr:row>
      <xdr:rowOff>28575</xdr:rowOff>
    </xdr:from>
    <xdr:to>
      <xdr:col>2</xdr:col>
      <xdr:colOff>66675</xdr:colOff>
      <xdr:row>9</xdr:row>
      <xdr:rowOff>352425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GrpSpPr/>
      </xdr:nvGrpSpPr>
      <xdr:grpSpPr>
        <a:xfrm>
          <a:off x="933450" y="2619375"/>
          <a:ext cx="1952625" cy="323850"/>
          <a:chOff x="885825" y="2581275"/>
          <a:chExt cx="1123950" cy="323850"/>
        </a:xfrm>
      </xdr:grpSpPr>
      <xdr:sp macro="" textlink="">
        <xdr:nvSpPr>
          <xdr:cNvPr id="169" name="Arrow: Right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/>
        </xdr:nvSpPr>
        <xdr:spPr>
          <a:xfrm>
            <a:off x="914400" y="2581275"/>
            <a:ext cx="1066800" cy="323850"/>
          </a:xfrm>
          <a:prstGeom prst="rightArrow">
            <a:avLst/>
          </a:prstGeom>
          <a:solidFill>
            <a:schemeClr val="bg1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179" name="Group 178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GrpSpPr/>
        </xdr:nvGrpSpPr>
        <xdr:grpSpPr>
          <a:xfrm>
            <a:off x="885825" y="2609850"/>
            <a:ext cx="1123950" cy="276225"/>
            <a:chOff x="885825" y="2609850"/>
            <a:chExt cx="1123950" cy="276225"/>
          </a:xfrm>
        </xdr:grpSpPr>
        <xdr:sp macro="" textlink="">
          <xdr:nvSpPr>
            <xdr:cNvPr id="172" name="Rectangle 171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1190625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3" name="Rectangle 172">
              <a:extLst>
                <a:ext uri="{FF2B5EF4-FFF2-40B4-BE49-F238E27FC236}">
                  <a16:creationId xmlns:a16="http://schemas.microsoft.com/office/drawing/2014/main" id="{00000000-0008-0000-0000-0000AD000000}"/>
                </a:ext>
              </a:extLst>
            </xdr:cNvPr>
            <xdr:cNvSpPr/>
          </xdr:nvSpPr>
          <xdr:spPr>
            <a:xfrm>
              <a:off x="88582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4" name="Rectangle 173">
              <a:extLst>
                <a:ext uri="{FF2B5EF4-FFF2-40B4-BE49-F238E27FC236}">
                  <a16:creationId xmlns:a16="http://schemas.microsoft.com/office/drawing/2014/main" id="{00000000-0008-0000-0000-0000AE000000}"/>
                </a:ext>
              </a:extLst>
            </xdr:cNvPr>
            <xdr:cNvSpPr/>
          </xdr:nvSpPr>
          <xdr:spPr>
            <a:xfrm>
              <a:off x="103822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5" name="Rectangle 174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SpPr/>
          </xdr:nvSpPr>
          <xdr:spPr>
            <a:xfrm>
              <a:off x="1323975" y="2647949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6" name="Rectangle 175">
              <a:extLst>
                <a:ext uri="{FF2B5EF4-FFF2-40B4-BE49-F238E27FC236}">
                  <a16:creationId xmlns:a16="http://schemas.microsoft.com/office/drawing/2014/main" id="{00000000-0008-0000-0000-0000B0000000}"/>
                </a:ext>
              </a:extLst>
            </xdr:cNvPr>
            <xdr:cNvSpPr/>
          </xdr:nvSpPr>
          <xdr:spPr>
            <a:xfrm>
              <a:off x="1485900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7" name="Rectangle 176">
              <a:extLst>
                <a:ext uri="{FF2B5EF4-FFF2-40B4-BE49-F238E27FC236}">
                  <a16:creationId xmlns:a16="http://schemas.microsoft.com/office/drawing/2014/main" id="{00000000-0008-0000-0000-0000B1000000}"/>
                </a:ext>
              </a:extLst>
            </xdr:cNvPr>
            <xdr:cNvSpPr/>
          </xdr:nvSpPr>
          <xdr:spPr>
            <a:xfrm>
              <a:off x="1657350" y="2657474"/>
              <a:ext cx="66676" cy="180975"/>
            </a:xfrm>
            <a:prstGeom prst="rect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8" name="Isosceles Triangle 177">
              <a:extLst>
                <a:ext uri="{FF2B5EF4-FFF2-40B4-BE49-F238E27FC236}">
                  <a16:creationId xmlns:a16="http://schemas.microsoft.com/office/drawing/2014/main" id="{00000000-0008-0000-0000-0000B2000000}"/>
                </a:ext>
              </a:extLst>
            </xdr:cNvPr>
            <xdr:cNvSpPr/>
          </xdr:nvSpPr>
          <xdr:spPr>
            <a:xfrm rot="5400000">
              <a:off x="1776412" y="2652713"/>
              <a:ext cx="276225" cy="190500"/>
            </a:xfrm>
            <a:prstGeom prst="triangle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4</xdr:col>
      <xdr:colOff>533400</xdr:colOff>
      <xdr:row>29</xdr:row>
      <xdr:rowOff>371475</xdr:rowOff>
    </xdr:from>
    <xdr:to>
      <xdr:col>6</xdr:col>
      <xdr:colOff>304800</xdr:colOff>
      <xdr:row>33</xdr:row>
      <xdr:rowOff>28575</xdr:rowOff>
    </xdr:to>
    <xdr:grpSp>
      <xdr:nvGrpSpPr>
        <xdr:cNvPr id="187" name="Group 186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GrpSpPr/>
      </xdr:nvGrpSpPr>
      <xdr:grpSpPr>
        <a:xfrm>
          <a:off x="5181600" y="12106275"/>
          <a:ext cx="1828800" cy="1485900"/>
          <a:chOff x="3810000" y="12211050"/>
          <a:chExt cx="1714500" cy="1409700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000-0000B8000000}"/>
              </a:ext>
            </a:extLst>
          </xdr:cNvPr>
          <xdr:cNvSpPr/>
        </xdr:nvSpPr>
        <xdr:spPr>
          <a:xfrm>
            <a:off x="3819525" y="12211050"/>
            <a:ext cx="1704975" cy="1409700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85" name="Rectangle 184">
            <a:extLst>
              <a:ext uri="{FF2B5EF4-FFF2-40B4-BE49-F238E27FC236}">
                <a16:creationId xmlns:a16="http://schemas.microsoft.com/office/drawing/2014/main" id="{00000000-0008-0000-0000-0000B9000000}"/>
              </a:ext>
            </a:extLst>
          </xdr:cNvPr>
          <xdr:cNvSpPr/>
        </xdr:nvSpPr>
        <xdr:spPr>
          <a:xfrm>
            <a:off x="3810000" y="12220574"/>
            <a:ext cx="1714500" cy="390525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381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800"/>
              <a:t>Production</a:t>
            </a:r>
            <a:r>
              <a:rPr lang="fr-FR" sz="800" baseline="0"/>
              <a:t> Control</a:t>
            </a:r>
            <a:endParaRPr lang="fr-FR" sz="800"/>
          </a:p>
        </xdr:txBody>
      </xdr:sp>
    </xdr:grpSp>
    <xdr:clientData/>
  </xdr:twoCellAnchor>
  <xdr:twoCellAnchor>
    <xdr:from>
      <xdr:col>4</xdr:col>
      <xdr:colOff>561975</xdr:colOff>
      <xdr:row>34</xdr:row>
      <xdr:rowOff>428625</xdr:rowOff>
    </xdr:from>
    <xdr:to>
      <xdr:col>6</xdr:col>
      <xdr:colOff>333375</xdr:colOff>
      <xdr:row>38</xdr:row>
      <xdr:rowOff>85725</xdr:rowOff>
    </xdr:to>
    <xdr:grpSp>
      <xdr:nvGrpSpPr>
        <xdr:cNvPr id="191" name="Group 190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GrpSpPr/>
      </xdr:nvGrpSpPr>
      <xdr:grpSpPr>
        <a:xfrm>
          <a:off x="5210175" y="14449425"/>
          <a:ext cx="1828800" cy="1333500"/>
          <a:chOff x="600075" y="7658100"/>
          <a:chExt cx="1714500" cy="1409700"/>
        </a:xfrm>
      </xdr:grpSpPr>
      <xdr:grpSp>
        <xdr:nvGrpSpPr>
          <xdr:cNvPr id="192" name="Group 191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</xdr:grpSpPr>
        <xdr:sp macro="" textlink="">
          <xdr:nvSpPr>
            <xdr:cNvPr id="194" name="Rectangle 193">
              <a:extLst>
                <a:ext uri="{FF2B5EF4-FFF2-40B4-BE49-F238E27FC236}">
                  <a16:creationId xmlns:a16="http://schemas.microsoft.com/office/drawing/2014/main" id="{00000000-0008-0000-0000-0000C2000000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5" name="Rectangle 194">
              <a:extLst>
                <a:ext uri="{FF2B5EF4-FFF2-40B4-BE49-F238E27FC236}">
                  <a16:creationId xmlns:a16="http://schemas.microsoft.com/office/drawing/2014/main" id="{00000000-0008-0000-0000-0000C3000000}"/>
                </a:ext>
              </a:extLst>
            </xdr:cNvPr>
            <xdr:cNvSpPr/>
          </xdr:nvSpPr>
          <xdr:spPr>
            <a:xfrm>
              <a:off x="590550" y="7658099"/>
              <a:ext cx="1714500" cy="390525"/>
            </a:xfrm>
            <a:prstGeom prst="rect">
              <a:avLst/>
            </a:prstGeom>
            <a:solidFill>
              <a:schemeClr val="accent4">
                <a:lumMod val="60000"/>
                <a:lumOff val="40000"/>
              </a:schemeClr>
            </a:solidFill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6" name="Oval 195">
              <a:extLst>
                <a:ext uri="{FF2B5EF4-FFF2-40B4-BE49-F238E27FC236}">
                  <a16:creationId xmlns:a16="http://schemas.microsoft.com/office/drawing/2014/main" id="{00000000-0008-0000-0000-0000C4000000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solidFill>
              <a:srgbClr val="FFC000"/>
            </a:solidFill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93" name="Freeform: Shape 192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no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5</xdr:col>
      <xdr:colOff>114300</xdr:colOff>
      <xdr:row>35</xdr:row>
      <xdr:rowOff>428625</xdr:rowOff>
    </xdr:from>
    <xdr:to>
      <xdr:col>6</xdr:col>
      <xdr:colOff>19050</xdr:colOff>
      <xdr:row>36</xdr:row>
      <xdr:rowOff>85725</xdr:rowOff>
    </xdr:to>
    <xdr:sp macro="" textlink="">
      <xdr:nvSpPr>
        <xdr:cNvPr id="197" name="Rectangle 196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>
          <a:off x="5543550" y="14557375"/>
          <a:ext cx="1047750" cy="10160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114300</xdr:colOff>
      <xdr:row>36</xdr:row>
      <xdr:rowOff>14290</xdr:rowOff>
    </xdr:from>
    <xdr:to>
      <xdr:col>5</xdr:col>
      <xdr:colOff>214313</xdr:colOff>
      <xdr:row>37</xdr:row>
      <xdr:rowOff>171454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 rot="5400000">
          <a:off x="5292725" y="14838365"/>
          <a:ext cx="601664" cy="100013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1009650</xdr:colOff>
      <xdr:row>35</xdr:row>
      <xdr:rowOff>433391</xdr:rowOff>
    </xdr:from>
    <xdr:to>
      <xdr:col>6</xdr:col>
      <xdr:colOff>14288</xdr:colOff>
      <xdr:row>37</xdr:row>
      <xdr:rowOff>152405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 rot="5400000">
          <a:off x="6208712" y="14792329"/>
          <a:ext cx="608014" cy="147638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390525</xdr:colOff>
      <xdr:row>36</xdr:row>
      <xdr:rowOff>133350</xdr:rowOff>
    </xdr:from>
    <xdr:to>
      <xdr:col>5</xdr:col>
      <xdr:colOff>495300</xdr:colOff>
      <xdr:row>36</xdr:row>
      <xdr:rowOff>247650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>
          <a:off x="5819775" y="14706600"/>
          <a:ext cx="104775" cy="11430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685800</xdr:colOff>
      <xdr:row>36</xdr:row>
      <xdr:rowOff>133350</xdr:rowOff>
    </xdr:from>
    <xdr:to>
      <xdr:col>5</xdr:col>
      <xdr:colOff>790575</xdr:colOff>
      <xdr:row>36</xdr:row>
      <xdr:rowOff>247650</xdr:rowOff>
    </xdr:to>
    <xdr:sp macro="" textlink="">
      <xdr:nvSpPr>
        <xdr:cNvPr id="201" name="Rectangle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6115050" y="14706600"/>
          <a:ext cx="104775" cy="11430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295275</xdr:colOff>
      <xdr:row>36</xdr:row>
      <xdr:rowOff>352425</xdr:rowOff>
    </xdr:from>
    <xdr:to>
      <xdr:col>5</xdr:col>
      <xdr:colOff>400050</xdr:colOff>
      <xdr:row>37</xdr:row>
      <xdr:rowOff>28575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>
          <a:off x="5724525" y="14925675"/>
          <a:ext cx="104775" cy="12065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809625</xdr:colOff>
      <xdr:row>36</xdr:row>
      <xdr:rowOff>352425</xdr:rowOff>
    </xdr:from>
    <xdr:to>
      <xdr:col>5</xdr:col>
      <xdr:colOff>914400</xdr:colOff>
      <xdr:row>37</xdr:row>
      <xdr:rowOff>28575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>
          <a:off x="6238875" y="14925675"/>
          <a:ext cx="104775" cy="12065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533400</xdr:colOff>
      <xdr:row>36</xdr:row>
      <xdr:rowOff>352425</xdr:rowOff>
    </xdr:from>
    <xdr:to>
      <xdr:col>5</xdr:col>
      <xdr:colOff>723900</xdr:colOff>
      <xdr:row>37</xdr:row>
      <xdr:rowOff>38100</xdr:rowOff>
    </xdr:to>
    <xdr:sp macro="" textlink="">
      <xdr:nvSpPr>
        <xdr:cNvPr id="204" name="Arrow: Curved Down 203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>
          <a:off x="5962650" y="14925675"/>
          <a:ext cx="190500" cy="130175"/>
        </a:xfrm>
        <a:prstGeom prst="curvedDownArrow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571500</xdr:colOff>
      <xdr:row>35</xdr:row>
      <xdr:rowOff>57150</xdr:rowOff>
    </xdr:from>
    <xdr:to>
      <xdr:col>2</xdr:col>
      <xdr:colOff>390525</xdr:colOff>
      <xdr:row>38</xdr:row>
      <xdr:rowOff>121920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GrpSpPr/>
      </xdr:nvGrpSpPr>
      <xdr:grpSpPr>
        <a:xfrm>
          <a:off x="571500" y="14535150"/>
          <a:ext cx="2638425" cy="1283970"/>
          <a:chOff x="266700" y="14344650"/>
          <a:chExt cx="1743075" cy="1314450"/>
        </a:xfrm>
      </xdr:grpSpPr>
      <xdr:sp macro="" textlink="">
        <xdr:nvSpPr>
          <xdr:cNvPr id="206" name="Rectangle 205">
            <a:extLst>
              <a:ext uri="{FF2B5EF4-FFF2-40B4-BE49-F238E27FC236}">
                <a16:creationId xmlns:a16="http://schemas.microsoft.com/office/drawing/2014/main" id="{00000000-0008-0000-0000-0000CE000000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05" name="Arc 26">
            <a:extLst>
              <a:ext uri="{FF2B5EF4-FFF2-40B4-BE49-F238E27FC236}">
                <a16:creationId xmlns:a16="http://schemas.microsoft.com/office/drawing/2014/main" id="{00000000-0008-0000-0000-0000CD000000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noFill/>
          <a:ln w="38100">
            <a:solidFill>
              <a:schemeClr val="tx1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0</xdr:col>
      <xdr:colOff>523875</xdr:colOff>
      <xdr:row>39</xdr:row>
      <xdr:rowOff>184785</xdr:rowOff>
    </xdr:from>
    <xdr:to>
      <xdr:col>2</xdr:col>
      <xdr:colOff>342900</xdr:colOff>
      <xdr:row>43</xdr:row>
      <xdr:rowOff>47625</xdr:rowOff>
    </xdr:to>
    <xdr:grpSp>
      <xdr:nvGrpSpPr>
        <xdr:cNvPr id="212" name="Group 21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GrpSpPr/>
      </xdr:nvGrpSpPr>
      <xdr:grpSpPr>
        <a:xfrm>
          <a:off x="523875" y="16034385"/>
          <a:ext cx="2638425" cy="4587240"/>
          <a:chOff x="457200" y="15859125"/>
          <a:chExt cx="1743075" cy="1409700"/>
        </a:xfrm>
      </xdr:grpSpPr>
      <xdr:sp macro="" textlink="">
        <xdr:nvSpPr>
          <xdr:cNvPr id="210" name="Rectangle 209">
            <a:extLst>
              <a:ext uri="{FF2B5EF4-FFF2-40B4-BE49-F238E27FC236}">
                <a16:creationId xmlns:a16="http://schemas.microsoft.com/office/drawing/2014/main" id="{00000000-0008-0000-0000-0000D2000000}"/>
              </a:ext>
            </a:extLst>
          </xdr:cNvPr>
          <xdr:cNvSpPr/>
        </xdr:nvSpPr>
        <xdr:spPr>
          <a:xfrm>
            <a:off x="457200" y="158591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208" name="Graphic 173">
            <a:extLst>
              <a:ext uri="{FF2B5EF4-FFF2-40B4-BE49-F238E27FC236}">
                <a16:creationId xmlns:a16="http://schemas.microsoft.com/office/drawing/2014/main" id="{00000000-0008-0000-0000-0000D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733425" y="16240125"/>
            <a:ext cx="1095375" cy="6858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552450</xdr:colOff>
      <xdr:row>39</xdr:row>
      <xdr:rowOff>182880</xdr:rowOff>
    </xdr:from>
    <xdr:to>
      <xdr:col>6</xdr:col>
      <xdr:colOff>352425</xdr:colOff>
      <xdr:row>43</xdr:row>
      <xdr:rowOff>38100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GrpSpPr/>
      </xdr:nvGrpSpPr>
      <xdr:grpSpPr>
        <a:xfrm>
          <a:off x="5200650" y="16032480"/>
          <a:ext cx="1857375" cy="4579620"/>
          <a:chOff x="3733800" y="16354425"/>
          <a:chExt cx="1743075" cy="1409700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000-0000DF000000}"/>
              </a:ext>
            </a:extLst>
          </xdr:cNvPr>
          <xdr:cNvSpPr/>
        </xdr:nvSpPr>
        <xdr:spPr>
          <a:xfrm>
            <a:off x="3733800" y="1635442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213" name="Group 212">
            <a:extLst>
              <a:ext uri="{FF2B5EF4-FFF2-40B4-BE49-F238E27FC236}">
                <a16:creationId xmlns:a16="http://schemas.microsoft.com/office/drawing/2014/main" id="{00000000-0008-0000-0000-0000D5000000}"/>
              </a:ext>
            </a:extLst>
          </xdr:cNvPr>
          <xdr:cNvGrpSpPr>
            <a:grpSpLocks/>
          </xdr:cNvGrpSpPr>
        </xdr:nvGrpSpPr>
        <xdr:grpSpPr bwMode="auto">
          <a:xfrm>
            <a:off x="4429125" y="16649700"/>
            <a:ext cx="257175" cy="809625"/>
            <a:chOff x="339" y="1152"/>
            <a:chExt cx="147" cy="433"/>
          </a:xfrm>
        </xdr:grpSpPr>
        <xdr:sp macro="" textlink="">
          <xdr:nvSpPr>
            <xdr:cNvPr id="214" name="Line 11">
              <a:extLst>
                <a:ext uri="{FF2B5EF4-FFF2-40B4-BE49-F238E27FC236}">
                  <a16:creationId xmlns:a16="http://schemas.microsoft.com/office/drawing/2014/main" id="{00000000-0008-0000-0000-0000D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" y="1152"/>
              <a:ext cx="0" cy="432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215" name="Line 12">
              <a:extLst>
                <a:ext uri="{FF2B5EF4-FFF2-40B4-BE49-F238E27FC236}">
                  <a16:creationId xmlns:a16="http://schemas.microsoft.com/office/drawing/2014/main" id="{00000000-0008-0000-0000-0000D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584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216" name="Line 13">
              <a:extLst>
                <a:ext uri="{FF2B5EF4-FFF2-40B4-BE49-F238E27FC236}">
                  <a16:creationId xmlns:a16="http://schemas.microsoft.com/office/drawing/2014/main" id="{00000000-0008-0000-0000-0000D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440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217" name="Line 14">
              <a:extLst>
                <a:ext uri="{FF2B5EF4-FFF2-40B4-BE49-F238E27FC236}">
                  <a16:creationId xmlns:a16="http://schemas.microsoft.com/office/drawing/2014/main" id="{00000000-0008-0000-0000-0000D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296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218" name="Line 15">
              <a:extLst>
                <a:ext uri="{FF2B5EF4-FFF2-40B4-BE49-F238E27FC236}">
                  <a16:creationId xmlns:a16="http://schemas.microsoft.com/office/drawing/2014/main" id="{00000000-0008-0000-0000-0000D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339" y="1152"/>
              <a:ext cx="141" cy="1"/>
            </a:xfrm>
            <a:prstGeom prst="line">
              <a:avLst/>
            </a:prstGeom>
            <a:noFill/>
            <a:ln w="28575" cap="sq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</xdr:grpSp>
    </xdr:grpSp>
    <xdr:clientData/>
  </xdr:twoCellAnchor>
  <xdr:twoCellAnchor>
    <xdr:from>
      <xdr:col>4</xdr:col>
      <xdr:colOff>435952</xdr:colOff>
      <xdr:row>44</xdr:row>
      <xdr:rowOff>785446</xdr:rowOff>
    </xdr:from>
    <xdr:to>
      <xdr:col>6</xdr:col>
      <xdr:colOff>235927</xdr:colOff>
      <xdr:row>47</xdr:row>
      <xdr:rowOff>206829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GrpSpPr/>
      </xdr:nvGrpSpPr>
      <xdr:grpSpPr>
        <a:xfrm>
          <a:off x="5084152" y="22883446"/>
          <a:ext cx="1857375" cy="2926583"/>
          <a:chOff x="4152900" y="18545175"/>
          <a:chExt cx="1743075" cy="1409700"/>
        </a:xfrm>
      </xdr:grpSpPr>
      <xdr:sp macro="" textlink="">
        <xdr:nvSpPr>
          <xdr:cNvPr id="227" name="Rectangle 226">
            <a:extLst>
              <a:ext uri="{FF2B5EF4-FFF2-40B4-BE49-F238E27FC236}">
                <a16:creationId xmlns:a16="http://schemas.microsoft.com/office/drawing/2014/main" id="{00000000-0008-0000-0000-0000E3000000}"/>
              </a:ext>
            </a:extLst>
          </xdr:cNvPr>
          <xdr:cNvSpPr/>
        </xdr:nvSpPr>
        <xdr:spPr>
          <a:xfrm>
            <a:off x="4152900" y="1854517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252" name="Group 251">
            <a:extLst>
              <a:ext uri="{FF2B5EF4-FFF2-40B4-BE49-F238E27FC236}">
                <a16:creationId xmlns:a16="http://schemas.microsoft.com/office/drawing/2014/main" id="{00000000-0008-0000-0000-0000FC000000}"/>
              </a:ext>
            </a:extLst>
          </xdr:cNvPr>
          <xdr:cNvGrpSpPr/>
        </xdr:nvGrpSpPr>
        <xdr:grpSpPr>
          <a:xfrm>
            <a:off x="4848224" y="18735676"/>
            <a:ext cx="381001" cy="1066799"/>
            <a:chOff x="4867274" y="18630901"/>
            <a:chExt cx="381001" cy="1066799"/>
          </a:xfrm>
        </xdr:grpSpPr>
        <xdr:grpSp>
          <xdr:nvGrpSpPr>
            <xdr:cNvPr id="249" name="Group 248">
              <a:extLst>
                <a:ext uri="{FF2B5EF4-FFF2-40B4-BE49-F238E27FC236}">
                  <a16:creationId xmlns:a16="http://schemas.microsoft.com/office/drawing/2014/main" id="{00000000-0008-0000-0000-0000F9000000}"/>
                </a:ext>
              </a:extLst>
            </xdr:cNvPr>
            <xdr:cNvGrpSpPr/>
          </xdr:nvGrpSpPr>
          <xdr:grpSpPr>
            <a:xfrm>
              <a:off x="4867275" y="18630901"/>
              <a:ext cx="380999" cy="800100"/>
              <a:chOff x="4933950" y="18811876"/>
              <a:chExt cx="380999" cy="971549"/>
            </a:xfrm>
          </xdr:grpSpPr>
          <xdr:grpSp>
            <xdr:nvGrpSpPr>
              <xdr:cNvPr id="240" name="Group 239">
                <a:extLst>
                  <a:ext uri="{FF2B5EF4-FFF2-40B4-BE49-F238E27FC236}">
                    <a16:creationId xmlns:a16="http://schemas.microsoft.com/office/drawing/2014/main" id="{00000000-0008-0000-0000-0000F0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33950" y="18811876"/>
                <a:ext cx="380999" cy="971549"/>
                <a:chOff x="339" y="1152"/>
                <a:chExt cx="147" cy="433"/>
              </a:xfrm>
            </xdr:grpSpPr>
            <xdr:sp macro="" textlink="">
              <xdr:nvSpPr>
                <xdr:cNvPr id="241" name="Line 11">
                  <a:extLst>
                    <a:ext uri="{FF2B5EF4-FFF2-40B4-BE49-F238E27FC236}">
                      <a16:creationId xmlns:a16="http://schemas.microsoft.com/office/drawing/2014/main" id="{00000000-0008-0000-0000-0000F1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486" y="1152"/>
                  <a:ext cx="0" cy="432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242" name="Line 12">
                  <a:extLst>
                    <a:ext uri="{FF2B5EF4-FFF2-40B4-BE49-F238E27FC236}">
                      <a16:creationId xmlns:a16="http://schemas.microsoft.com/office/drawing/2014/main" id="{00000000-0008-0000-0000-0000F2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584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243" name="Line 13">
                  <a:extLst>
                    <a:ext uri="{FF2B5EF4-FFF2-40B4-BE49-F238E27FC236}">
                      <a16:creationId xmlns:a16="http://schemas.microsoft.com/office/drawing/2014/main" id="{00000000-0008-0000-0000-0000F3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440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244" name="Line 14">
                  <a:extLst>
                    <a:ext uri="{FF2B5EF4-FFF2-40B4-BE49-F238E27FC236}">
                      <a16:creationId xmlns:a16="http://schemas.microsoft.com/office/drawing/2014/main" id="{00000000-0008-0000-0000-0000F4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296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245" name="Line 15">
                  <a:extLst>
                    <a:ext uri="{FF2B5EF4-FFF2-40B4-BE49-F238E27FC236}">
                      <a16:creationId xmlns:a16="http://schemas.microsoft.com/office/drawing/2014/main" id="{00000000-0008-0000-0000-0000F5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152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</xdr:grpSp>
          <xdr:cxnSp macro="">
            <xdr:nvCxnSpPr>
              <xdr:cNvPr id="247" name="Straight Connector 246">
                <a:extLst>
                  <a:ext uri="{FF2B5EF4-FFF2-40B4-BE49-F238E27FC236}">
                    <a16:creationId xmlns:a16="http://schemas.microsoft.com/office/drawing/2014/main" id="{00000000-0008-0000-0000-0000F7000000}"/>
                  </a:ext>
                </a:extLst>
              </xdr:cNvPr>
              <xdr:cNvCxnSpPr>
                <a:stCxn id="245" idx="1"/>
                <a:endCxn id="242" idx="1"/>
              </xdr:cNvCxnSpPr>
            </xdr:nvCxnSpPr>
            <xdr:spPr>
              <a:xfrm>
                <a:off x="4933950" y="18814120"/>
                <a:ext cx="0" cy="969305"/>
              </a:xfrm>
              <a:prstGeom prst="line">
                <a:avLst/>
              </a:prstGeom>
              <a:ln w="28575"/>
            </xdr:spPr>
            <xdr:style>
              <a:lnRef idx="3">
                <a:schemeClr val="dk1"/>
              </a:lnRef>
              <a:fillRef idx="0">
                <a:schemeClr val="dk1"/>
              </a:fillRef>
              <a:effectRef idx="2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50" name="Rectangle 249">
              <a:extLst>
                <a:ext uri="{FF2B5EF4-FFF2-40B4-BE49-F238E27FC236}">
                  <a16:creationId xmlns:a16="http://schemas.microsoft.com/office/drawing/2014/main" id="{00000000-0008-0000-0000-0000FA000000}"/>
                </a:ext>
              </a:extLst>
            </xdr:cNvPr>
            <xdr:cNvSpPr/>
          </xdr:nvSpPr>
          <xdr:spPr>
            <a:xfrm>
              <a:off x="4867274" y="19431000"/>
              <a:ext cx="381001" cy="266700"/>
            </a:xfrm>
            <a:prstGeom prst="rect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0</xdr:col>
      <xdr:colOff>487198</xdr:colOff>
      <xdr:row>45</xdr:row>
      <xdr:rowOff>21130</xdr:rowOff>
    </xdr:from>
    <xdr:to>
      <xdr:col>2</xdr:col>
      <xdr:colOff>306223</xdr:colOff>
      <xdr:row>48</xdr:row>
      <xdr:rowOff>127110</xdr:rowOff>
    </xdr:to>
    <xdr:grpSp>
      <xdr:nvGrpSpPr>
        <xdr:cNvPr id="287" name="Group 286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GrpSpPr/>
      </xdr:nvGrpSpPr>
      <xdr:grpSpPr>
        <a:xfrm>
          <a:off x="487198" y="23643130"/>
          <a:ext cx="2638425" cy="2391980"/>
          <a:chOff x="504825" y="18364200"/>
          <a:chExt cx="1743075" cy="1409700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000-00000F010000}"/>
              </a:ext>
            </a:extLst>
          </xdr:cNvPr>
          <xdr:cNvSpPr/>
        </xdr:nvSpPr>
        <xdr:spPr>
          <a:xfrm>
            <a:off x="504825" y="1836420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279" name="Straight Connector 278">
            <a:extLst>
              <a:ext uri="{FF2B5EF4-FFF2-40B4-BE49-F238E27FC236}">
                <a16:creationId xmlns:a16="http://schemas.microsoft.com/office/drawing/2014/main" id="{00000000-0008-0000-0000-000017010000}"/>
              </a:ext>
            </a:extLst>
          </xdr:cNvPr>
          <xdr:cNvCxnSpPr/>
        </xdr:nvCxnSpPr>
        <xdr:spPr>
          <a:xfrm flipV="1">
            <a:off x="628650" y="18849975"/>
            <a:ext cx="1495425" cy="9525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80" name="Straight Connector 279">
            <a:extLst>
              <a:ext uri="{FF2B5EF4-FFF2-40B4-BE49-F238E27FC236}">
                <a16:creationId xmlns:a16="http://schemas.microsoft.com/office/drawing/2014/main" id="{00000000-0008-0000-0000-000018010000}"/>
              </a:ext>
            </a:extLst>
          </xdr:cNvPr>
          <xdr:cNvCxnSpPr/>
        </xdr:nvCxnSpPr>
        <xdr:spPr>
          <a:xfrm flipV="1">
            <a:off x="628650" y="19316700"/>
            <a:ext cx="1495425" cy="9525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81" name="Straight Connector 280">
            <a:extLst>
              <a:ext uri="{FF2B5EF4-FFF2-40B4-BE49-F238E27FC236}">
                <a16:creationId xmlns:a16="http://schemas.microsoft.com/office/drawing/2014/main" id="{00000000-0008-0000-0000-000019010000}"/>
              </a:ext>
            </a:extLst>
          </xdr:cNvPr>
          <xdr:cNvCxnSpPr/>
        </xdr:nvCxnSpPr>
        <xdr:spPr>
          <a:xfrm>
            <a:off x="619125" y="19078575"/>
            <a:ext cx="428625" cy="0"/>
          </a:xfrm>
          <a:prstGeom prst="line">
            <a:avLst/>
          </a:prstGeom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000-00001C010000}"/>
              </a:ext>
            </a:extLst>
          </xdr:cNvPr>
          <xdr:cNvCxnSpPr/>
        </xdr:nvCxnSpPr>
        <xdr:spPr>
          <a:xfrm>
            <a:off x="1685925" y="19069050"/>
            <a:ext cx="428625" cy="0"/>
          </a:xfrm>
          <a:prstGeom prst="line">
            <a:avLst/>
          </a:prstGeom>
          <a:ln>
            <a:tailEnd type="stealth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85" name="Rectangle 284">
            <a:extLst>
              <a:ext uri="{FF2B5EF4-FFF2-40B4-BE49-F238E27FC236}">
                <a16:creationId xmlns:a16="http://schemas.microsoft.com/office/drawing/2014/main" id="{00000000-0008-0000-0000-00001D010000}"/>
              </a:ext>
            </a:extLst>
          </xdr:cNvPr>
          <xdr:cNvSpPr/>
        </xdr:nvSpPr>
        <xdr:spPr>
          <a:xfrm>
            <a:off x="1171575" y="18926175"/>
            <a:ext cx="571500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FIFO</a:t>
            </a:r>
          </a:p>
        </xdr:txBody>
      </xdr:sp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000-00001E010000}"/>
              </a:ext>
            </a:extLst>
          </xdr:cNvPr>
          <xdr:cNvSpPr/>
        </xdr:nvSpPr>
        <xdr:spPr>
          <a:xfrm>
            <a:off x="704850" y="18621375"/>
            <a:ext cx="57150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MAX</a:t>
            </a:r>
            <a:r>
              <a:rPr lang="fr-FR" sz="1100" baseline="0"/>
              <a:t> =</a:t>
            </a:r>
            <a:endParaRPr lang="fr-FR" sz="1100"/>
          </a:p>
        </xdr:txBody>
      </xdr:sp>
    </xdr:grpSp>
    <xdr:clientData/>
  </xdr:twoCellAnchor>
  <xdr:twoCellAnchor>
    <xdr:from>
      <xdr:col>1</xdr:col>
      <xdr:colOff>213632</xdr:colOff>
      <xdr:row>51</xdr:row>
      <xdr:rowOff>310243</xdr:rowOff>
    </xdr:from>
    <xdr:to>
      <xdr:col>1</xdr:col>
      <xdr:colOff>223157</xdr:colOff>
      <xdr:row>52</xdr:row>
      <xdr:rowOff>253093</xdr:rowOff>
    </xdr:to>
    <xdr:cxnSp macro="">
      <xdr:nvCxnSpPr>
        <xdr:cNvPr id="300" name="Straight Connector 299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CxnSpPr>
          <a:stCxn id="290" idx="4"/>
        </xdr:cNvCxnSpPr>
      </xdr:nvCxnSpPr>
      <xdr:spPr>
        <a:xfrm>
          <a:off x="1095375" y="24552729"/>
          <a:ext cx="9525" cy="99876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495300</xdr:colOff>
      <xdr:row>54</xdr:row>
      <xdr:rowOff>323850</xdr:rowOff>
    </xdr:from>
    <xdr:to>
      <xdr:col>2</xdr:col>
      <xdr:colOff>314325</xdr:colOff>
      <xdr:row>57</xdr:row>
      <xdr:rowOff>419100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GrpSpPr/>
      </xdr:nvGrpSpPr>
      <xdr:grpSpPr>
        <a:xfrm>
          <a:off x="495300" y="32937450"/>
          <a:ext cx="2638425" cy="1466850"/>
          <a:chOff x="4076700" y="22860000"/>
          <a:chExt cx="1743075" cy="1409700"/>
        </a:xfrm>
      </xdr:grpSpPr>
      <xdr:sp macro="" textlink="">
        <xdr:nvSpPr>
          <xdr:cNvPr id="339" name="Rectangle 338">
            <a:extLst>
              <a:ext uri="{FF2B5EF4-FFF2-40B4-BE49-F238E27FC236}">
                <a16:creationId xmlns:a16="http://schemas.microsoft.com/office/drawing/2014/main" id="{00000000-0008-0000-0000-000053010000}"/>
              </a:ext>
            </a:extLst>
          </xdr:cNvPr>
          <xdr:cNvSpPr/>
        </xdr:nvSpPr>
        <xdr:spPr>
          <a:xfrm>
            <a:off x="4076700" y="2286000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37" name="Picture 336">
            <a:extLst>
              <a:ext uri="{FF2B5EF4-FFF2-40B4-BE49-F238E27FC236}">
                <a16:creationId xmlns:a16="http://schemas.microsoft.com/office/drawing/2014/main" id="{00000000-0008-0000-0000-00005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4467225" y="23202900"/>
            <a:ext cx="971551" cy="819428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542925</xdr:colOff>
      <xdr:row>50</xdr:row>
      <xdr:rowOff>631372</xdr:rowOff>
    </xdr:from>
    <xdr:to>
      <xdr:col>6</xdr:col>
      <xdr:colOff>293915</xdr:colOff>
      <xdr:row>53</xdr:row>
      <xdr:rowOff>9525</xdr:rowOff>
    </xdr:to>
    <xdr:grpSp>
      <xdr:nvGrpSpPr>
        <xdr:cNvPr id="353" name="Group 352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GrpSpPr/>
      </xdr:nvGrpSpPr>
      <xdr:grpSpPr>
        <a:xfrm>
          <a:off x="5191125" y="27377572"/>
          <a:ext cx="1808390" cy="4788353"/>
          <a:chOff x="4076700" y="20631150"/>
          <a:chExt cx="1743075" cy="1409700"/>
        </a:xfrm>
      </xdr:grpSpPr>
      <xdr:sp macro="" textlink="">
        <xdr:nvSpPr>
          <xdr:cNvPr id="321" name="Rectangle 320">
            <a:extLst>
              <a:ext uri="{FF2B5EF4-FFF2-40B4-BE49-F238E27FC236}">
                <a16:creationId xmlns:a16="http://schemas.microsoft.com/office/drawing/2014/main" id="{00000000-0008-0000-0000-000041010000}"/>
              </a:ext>
            </a:extLst>
          </xdr:cNvPr>
          <xdr:cNvSpPr/>
        </xdr:nvSpPr>
        <xdr:spPr>
          <a:xfrm>
            <a:off x="4076700" y="2063115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19" name="Picture 318">
            <a:extLst>
              <a:ext uri="{FF2B5EF4-FFF2-40B4-BE49-F238E27FC236}">
                <a16:creationId xmlns:a16="http://schemas.microsoft.com/office/drawing/2014/main" id="{00000000-0008-0000-0000-00003F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4257676" y="21108898"/>
            <a:ext cx="1000124" cy="789377"/>
          </a:xfrm>
          <a:prstGeom prst="rect">
            <a:avLst/>
          </a:prstGeom>
          <a:ln>
            <a:noFill/>
          </a:ln>
        </xdr:spPr>
      </xdr:pic>
      <xdr:grpSp>
        <xdr:nvGrpSpPr>
          <xdr:cNvPr id="341" name="Group 340">
            <a:extLst>
              <a:ext uri="{FF2B5EF4-FFF2-40B4-BE49-F238E27FC236}">
                <a16:creationId xmlns:a16="http://schemas.microsoft.com/office/drawing/2014/main" id="{00000000-0008-0000-0000-000055010000}"/>
              </a:ext>
            </a:extLst>
          </xdr:cNvPr>
          <xdr:cNvGrpSpPr/>
        </xdr:nvGrpSpPr>
        <xdr:grpSpPr>
          <a:xfrm>
            <a:off x="5324475" y="20726400"/>
            <a:ext cx="342900" cy="274451"/>
            <a:chOff x="5622718" y="2886022"/>
            <a:chExt cx="577311" cy="554751"/>
          </a:xfrm>
        </xdr:grpSpPr>
        <xdr:sp macro="" textlink="">
          <xdr:nvSpPr>
            <xdr:cNvPr id="342" name="Rectangle 80">
              <a:extLst>
                <a:ext uri="{FF2B5EF4-FFF2-40B4-BE49-F238E27FC236}">
                  <a16:creationId xmlns:a16="http://schemas.microsoft.com/office/drawing/2014/main" id="{00000000-0008-0000-0000-00005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22718" y="2886022"/>
              <a:ext cx="577311" cy="554751"/>
            </a:xfrm>
            <a:prstGeom prst="roundRect">
              <a:avLst/>
            </a:prstGeom>
            <a:noFill/>
            <a:ln w="28575" algn="ctr">
              <a:solidFill>
                <a:schemeClr val="tx1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Bef>
                  <a:spcPct val="0"/>
                </a:spcBef>
              </a:pPr>
              <a:endParaRPr lang="en-US" altLang="en-US" sz="1245">
                <a:latin typeface="Arial" panose="020B0604020202020204" pitchFamily="34" charset="0"/>
              </a:endParaRPr>
            </a:p>
          </xdr:txBody>
        </xdr:sp>
        <xdr:grpSp>
          <xdr:nvGrpSpPr>
            <xdr:cNvPr id="343" name="Graphic 13">
              <a:extLst>
                <a:ext uri="{FF2B5EF4-FFF2-40B4-BE49-F238E27FC236}">
                  <a16:creationId xmlns:a16="http://schemas.microsoft.com/office/drawing/2014/main" id="{00000000-0008-0000-0000-000057010000}"/>
                </a:ext>
              </a:extLst>
            </xdr:cNvPr>
            <xdr:cNvGrpSpPr/>
          </xdr:nvGrpSpPr>
          <xdr:grpSpPr>
            <a:xfrm>
              <a:off x="5714234" y="2962446"/>
              <a:ext cx="394287" cy="394287"/>
              <a:chOff x="5774080" y="2944851"/>
              <a:chExt cx="312942" cy="312942"/>
            </a:xfrm>
            <a:noFill/>
          </xdr:grpSpPr>
          <xdr:sp macro="" textlink="">
            <xdr:nvSpPr>
              <xdr:cNvPr id="344" name="Freeform: Shape 343">
                <a:extLst>
                  <a:ext uri="{FF2B5EF4-FFF2-40B4-BE49-F238E27FC236}">
                    <a16:creationId xmlns:a16="http://schemas.microsoft.com/office/drawing/2014/main" id="{00000000-0008-0000-0000-000058010000}"/>
                  </a:ext>
                </a:extLst>
              </xdr:cNvPr>
              <xdr:cNvSpPr/>
            </xdr:nvSpPr>
            <xdr:spPr>
              <a:xfrm>
                <a:off x="5778762" y="2949533"/>
                <a:ext cx="308260" cy="308260"/>
              </a:xfrm>
              <a:custGeom>
                <a:avLst/>
                <a:gdLst>
                  <a:gd name="connsiteX0" fmla="*/ 308260 w 308260"/>
                  <a:gd name="connsiteY0" fmla="*/ 154130 h 308260"/>
                  <a:gd name="connsiteX1" fmla="*/ 154130 w 308260"/>
                  <a:gd name="connsiteY1" fmla="*/ 308260 h 308260"/>
                  <a:gd name="connsiteX2" fmla="*/ 0 w 308260"/>
                  <a:gd name="connsiteY2" fmla="*/ 154130 h 308260"/>
                  <a:gd name="connsiteX3" fmla="*/ 154130 w 308260"/>
                  <a:gd name="connsiteY3" fmla="*/ 0 h 308260"/>
                  <a:gd name="connsiteX4" fmla="*/ 308260 w 308260"/>
                  <a:gd name="connsiteY4" fmla="*/ 154130 h 30826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308260" h="308260">
                    <a:moveTo>
                      <a:pt x="308260" y="154130"/>
                    </a:moveTo>
                    <a:cubicBezTo>
                      <a:pt x="308260" y="239254"/>
                      <a:pt x="239254" y="308260"/>
                      <a:pt x="154130" y="308260"/>
                    </a:cubicBezTo>
                    <a:cubicBezTo>
                      <a:pt x="69006" y="308260"/>
                      <a:pt x="0" y="239254"/>
                      <a:pt x="0" y="154130"/>
                    </a:cubicBezTo>
                    <a:cubicBezTo>
                      <a:pt x="0" y="69006"/>
                      <a:pt x="69006" y="0"/>
                      <a:pt x="154130" y="0"/>
                    </a:cubicBezTo>
                    <a:cubicBezTo>
                      <a:pt x="239254" y="0"/>
                      <a:pt x="308260" y="69006"/>
                      <a:pt x="308260" y="154130"/>
                    </a:cubicBezTo>
                    <a:close/>
                  </a:path>
                </a:pathLst>
              </a:custGeom>
              <a:noFill/>
              <a:ln w="25400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grpSp>
            <xdr:nvGrpSpPr>
              <xdr:cNvPr id="345" name="Graphic 13">
                <a:extLst>
                  <a:ext uri="{FF2B5EF4-FFF2-40B4-BE49-F238E27FC236}">
                    <a16:creationId xmlns:a16="http://schemas.microsoft.com/office/drawing/2014/main" id="{00000000-0008-0000-0000-000059010000}"/>
                  </a:ext>
                </a:extLst>
              </xdr:cNvPr>
              <xdr:cNvGrpSpPr/>
            </xdr:nvGrpSpPr>
            <xdr:grpSpPr>
              <a:xfrm>
                <a:off x="5932893" y="2969607"/>
                <a:ext cx="3121" cy="268112"/>
                <a:chOff x="5932893" y="2969607"/>
                <a:chExt cx="3121" cy="268112"/>
              </a:xfrm>
            </xdr:grpSpPr>
            <xdr:sp macro="" textlink="">
              <xdr:nvSpPr>
                <xdr:cNvPr id="351" name="Freeform: Shape 350">
                  <a:extLst>
                    <a:ext uri="{FF2B5EF4-FFF2-40B4-BE49-F238E27FC236}">
                      <a16:creationId xmlns:a16="http://schemas.microsoft.com/office/drawing/2014/main" id="{00000000-0008-0000-0000-00005F010000}"/>
                    </a:ext>
                  </a:extLst>
                </xdr:cNvPr>
                <xdr:cNvSpPr/>
              </xdr:nvSpPr>
              <xdr:spPr>
                <a:xfrm>
                  <a:off x="5932893" y="2969607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352" name="Freeform: Shape 351">
                  <a:extLst>
                    <a:ext uri="{FF2B5EF4-FFF2-40B4-BE49-F238E27FC236}">
                      <a16:creationId xmlns:a16="http://schemas.microsoft.com/office/drawing/2014/main" id="{00000000-0008-0000-0000-000060010000}"/>
                    </a:ext>
                  </a:extLst>
                </xdr:cNvPr>
                <xdr:cNvSpPr/>
              </xdr:nvSpPr>
              <xdr:spPr>
                <a:xfrm>
                  <a:off x="5932893" y="3210434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grpSp>
            <xdr:nvGrpSpPr>
              <xdr:cNvPr id="346" name="Graphic 13">
                <a:extLst>
                  <a:ext uri="{FF2B5EF4-FFF2-40B4-BE49-F238E27FC236}">
                    <a16:creationId xmlns:a16="http://schemas.microsoft.com/office/drawing/2014/main" id="{00000000-0008-0000-0000-00005A010000}"/>
                  </a:ext>
                </a:extLst>
              </xdr:cNvPr>
              <xdr:cNvGrpSpPr/>
            </xdr:nvGrpSpPr>
            <xdr:grpSpPr>
              <a:xfrm>
                <a:off x="5798836" y="3103664"/>
                <a:ext cx="268112" cy="3121"/>
                <a:chOff x="5798836" y="3103664"/>
                <a:chExt cx="268112" cy="3121"/>
              </a:xfrm>
            </xdr:grpSpPr>
            <xdr:sp macro="" textlink="">
              <xdr:nvSpPr>
                <xdr:cNvPr id="349" name="Freeform: Shape 348">
                  <a:extLst>
                    <a:ext uri="{FF2B5EF4-FFF2-40B4-BE49-F238E27FC236}">
                      <a16:creationId xmlns:a16="http://schemas.microsoft.com/office/drawing/2014/main" id="{00000000-0008-0000-0000-00005D010000}"/>
                    </a:ext>
                  </a:extLst>
                </xdr:cNvPr>
                <xdr:cNvSpPr/>
              </xdr:nvSpPr>
              <xdr:spPr>
                <a:xfrm>
                  <a:off x="5798836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350" name="Freeform: Shape 349">
                  <a:extLst>
                    <a:ext uri="{FF2B5EF4-FFF2-40B4-BE49-F238E27FC236}">
                      <a16:creationId xmlns:a16="http://schemas.microsoft.com/office/drawing/2014/main" id="{00000000-0008-0000-0000-00005E010000}"/>
                    </a:ext>
                  </a:extLst>
                </xdr:cNvPr>
                <xdr:cNvSpPr/>
              </xdr:nvSpPr>
              <xdr:spPr>
                <a:xfrm>
                  <a:off x="6039663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sp macro="" textlink="">
            <xdr:nvSpPr>
              <xdr:cNvPr id="347" name="Freeform: Shape 346">
                <a:extLst>
                  <a:ext uri="{FF2B5EF4-FFF2-40B4-BE49-F238E27FC236}">
                    <a16:creationId xmlns:a16="http://schemas.microsoft.com/office/drawing/2014/main" id="{00000000-0008-0000-0000-00005B010000}"/>
                  </a:ext>
                </a:extLst>
              </xdr:cNvPr>
              <xdr:cNvSpPr/>
            </xdr:nvSpPr>
            <xdr:spPr>
              <a:xfrm>
                <a:off x="5932893" y="3027957"/>
                <a:ext cx="63625" cy="82544"/>
              </a:xfrm>
              <a:custGeom>
                <a:avLst/>
                <a:gdLst>
                  <a:gd name="connsiteX0" fmla="*/ 0 w 63625"/>
                  <a:gd name="connsiteY0" fmla="*/ 0 h 82544"/>
                  <a:gd name="connsiteX1" fmla="*/ 0 w 63625"/>
                  <a:gd name="connsiteY1" fmla="*/ 82544 h 82544"/>
                  <a:gd name="connsiteX2" fmla="*/ 63625 w 63625"/>
                  <a:gd name="connsiteY2" fmla="*/ 58318 h 8254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63625" h="82544">
                    <a:moveTo>
                      <a:pt x="0" y="0"/>
                    </a:moveTo>
                    <a:lnTo>
                      <a:pt x="0" y="82544"/>
                    </a:lnTo>
                    <a:lnTo>
                      <a:pt x="63625" y="58318"/>
                    </a:lnTo>
                  </a:path>
                </a:pathLst>
              </a:custGeom>
              <a:no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sp macro="" textlink="">
            <xdr:nvSpPr>
              <xdr:cNvPr id="348" name="Freeform: Shape 347">
                <a:extLst>
                  <a:ext uri="{FF2B5EF4-FFF2-40B4-BE49-F238E27FC236}">
                    <a16:creationId xmlns:a16="http://schemas.microsoft.com/office/drawing/2014/main" id="{00000000-0008-0000-0000-00005C010000}"/>
                  </a:ext>
                </a:extLst>
              </xdr:cNvPr>
              <xdr:cNvSpPr/>
            </xdr:nvSpPr>
            <xdr:spPr>
              <a:xfrm>
                <a:off x="5774080" y="2944851"/>
                <a:ext cx="3121" cy="3121"/>
              </a:xfrm>
              <a:custGeom>
                <a:avLst/>
                <a:gdLst/>
                <a:ahLst/>
                <a:cxnLst/>
                <a:rect l="l" t="t" r="r" b="b"/>
                <a:pathLst>
                  <a:path w="3121" h="3121"/>
                </a:pathLst>
              </a:custGeom>
              <a:no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</xdr:grpSp>
      </xdr:grpSp>
    </xdr:grpSp>
    <xdr:clientData/>
  </xdr:twoCellAnchor>
  <xdr:twoCellAnchor>
    <xdr:from>
      <xdr:col>4</xdr:col>
      <xdr:colOff>527050</xdr:colOff>
      <xdr:row>54</xdr:row>
      <xdr:rowOff>342900</xdr:rowOff>
    </xdr:from>
    <xdr:to>
      <xdr:col>6</xdr:col>
      <xdr:colOff>327025</xdr:colOff>
      <xdr:row>58</xdr:row>
      <xdr:rowOff>0</xdr:rowOff>
    </xdr:to>
    <xdr:grpSp>
      <xdr:nvGrpSpPr>
        <xdr:cNvPr id="359" name="Group 358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GrpSpPr/>
      </xdr:nvGrpSpPr>
      <xdr:grpSpPr>
        <a:xfrm>
          <a:off x="5175250" y="32956500"/>
          <a:ext cx="1857375" cy="1485900"/>
          <a:chOff x="4143375" y="22631400"/>
          <a:chExt cx="1743075" cy="1409700"/>
        </a:xfrm>
      </xdr:grpSpPr>
      <xdr:sp macro="" textlink="">
        <xdr:nvSpPr>
          <xdr:cNvPr id="357" name="Rectangle 356">
            <a:extLst>
              <a:ext uri="{FF2B5EF4-FFF2-40B4-BE49-F238E27FC236}">
                <a16:creationId xmlns:a16="http://schemas.microsoft.com/office/drawing/2014/main" id="{00000000-0008-0000-0000-000065010000}"/>
              </a:ext>
            </a:extLst>
          </xdr:cNvPr>
          <xdr:cNvSpPr/>
        </xdr:nvSpPr>
        <xdr:spPr>
          <a:xfrm>
            <a:off x="4143375" y="22631400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55" name="Picture 354">
            <a:extLst>
              <a:ext uri="{FF2B5EF4-FFF2-40B4-BE49-F238E27FC236}">
                <a16:creationId xmlns:a16="http://schemas.microsoft.com/office/drawing/2014/main" id="{00000000-0008-0000-0000-00006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4591050" y="23060025"/>
            <a:ext cx="895350" cy="55266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184917</xdr:colOff>
      <xdr:row>59</xdr:row>
      <xdr:rowOff>315310</xdr:rowOff>
    </xdr:from>
    <xdr:to>
      <xdr:col>2</xdr:col>
      <xdr:colOff>3942</xdr:colOff>
      <xdr:row>62</xdr:row>
      <xdr:rowOff>410560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GrpSpPr/>
      </xdr:nvGrpSpPr>
      <xdr:grpSpPr>
        <a:xfrm>
          <a:off x="184917" y="35214910"/>
          <a:ext cx="2638425" cy="1466850"/>
          <a:chOff x="447675" y="24945975"/>
          <a:chExt cx="1743075" cy="1409700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000-000069010000}"/>
              </a:ext>
            </a:extLst>
          </xdr:cNvPr>
          <xdr:cNvSpPr/>
        </xdr:nvSpPr>
        <xdr:spPr>
          <a:xfrm>
            <a:off x="447675" y="24945975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63" name="Graphique 2" descr="Enveloppe contour">
            <a:extLst>
              <a:ext uri="{FF2B5EF4-FFF2-40B4-BE49-F238E27FC236}">
                <a16:creationId xmlns:a16="http://schemas.microsoft.com/office/drawing/2014/main" id="{00000000-0008-0000-0000-00006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57250" y="25174575"/>
            <a:ext cx="922276" cy="87502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590550</xdr:colOff>
      <xdr:row>59</xdr:row>
      <xdr:rowOff>381000</xdr:rowOff>
    </xdr:from>
    <xdr:to>
      <xdr:col>6</xdr:col>
      <xdr:colOff>390525</xdr:colOff>
      <xdr:row>63</xdr:row>
      <xdr:rowOff>38100</xdr:rowOff>
    </xdr:to>
    <xdr:grpSp>
      <xdr:nvGrpSpPr>
        <xdr:cNvPr id="371" name="Group 370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GrpSpPr/>
      </xdr:nvGrpSpPr>
      <xdr:grpSpPr>
        <a:xfrm>
          <a:off x="5238750" y="35280600"/>
          <a:ext cx="1857375" cy="1485900"/>
          <a:chOff x="4181475" y="24850725"/>
          <a:chExt cx="1743075" cy="1409700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000-00006C010000}"/>
              </a:ext>
            </a:extLst>
          </xdr:cNvPr>
          <xdr:cNvSpPr/>
        </xdr:nvSpPr>
        <xdr:spPr>
          <a:xfrm>
            <a:off x="4181475" y="24850725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000-00006F010000}"/>
              </a:ext>
            </a:extLst>
          </xdr:cNvPr>
          <xdr:cNvSpPr/>
        </xdr:nvSpPr>
        <xdr:spPr>
          <a:xfrm>
            <a:off x="4410075" y="24993601"/>
            <a:ext cx="1285875" cy="876300"/>
          </a:xfrm>
          <a:prstGeom prst="rect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68" name="Rectangle 367">
            <a:extLst>
              <a:ext uri="{FF2B5EF4-FFF2-40B4-BE49-F238E27FC236}">
                <a16:creationId xmlns:a16="http://schemas.microsoft.com/office/drawing/2014/main" id="{00000000-0008-0000-0000-000070010000}"/>
              </a:ext>
            </a:extLst>
          </xdr:cNvPr>
          <xdr:cNvSpPr/>
        </xdr:nvSpPr>
        <xdr:spPr>
          <a:xfrm>
            <a:off x="4267200" y="25879425"/>
            <a:ext cx="1571625" cy="276225"/>
          </a:xfrm>
          <a:prstGeom prst="rect">
            <a:avLst/>
          </a:prstGeom>
          <a:no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100" b="1">
                <a:solidFill>
                  <a:schemeClr val="tx1"/>
                </a:solidFill>
              </a:rPr>
              <a:t>Fax</a:t>
            </a:r>
          </a:p>
        </xdr:txBody>
      </xdr:sp>
      <xdr:sp macro="" textlink="">
        <xdr:nvSpPr>
          <xdr:cNvPr id="369" name="Rectangle 368">
            <a:extLst>
              <a:ext uri="{FF2B5EF4-FFF2-40B4-BE49-F238E27FC236}">
                <a16:creationId xmlns:a16="http://schemas.microsoft.com/office/drawing/2014/main" id="{00000000-0008-0000-0000-000071010000}"/>
              </a:ext>
            </a:extLst>
          </xdr:cNvPr>
          <xdr:cNvSpPr/>
        </xdr:nvSpPr>
        <xdr:spPr>
          <a:xfrm>
            <a:off x="5524500" y="24993600"/>
            <a:ext cx="161925" cy="161925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504825</xdr:colOff>
      <xdr:row>65</xdr:row>
      <xdr:rowOff>99191</xdr:rowOff>
    </xdr:from>
    <xdr:to>
      <xdr:col>2</xdr:col>
      <xdr:colOff>323850</xdr:colOff>
      <xdr:row>68</xdr:row>
      <xdr:rowOff>202981</xdr:rowOff>
    </xdr:to>
    <xdr:sp macro="" textlink="">
      <xdr:nvSpPr>
        <xdr:cNvPr id="372" name="Rectangle 37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>
        <a:xfrm>
          <a:off x="504825" y="31735329"/>
          <a:ext cx="2577991" cy="144385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666750</xdr:colOff>
      <xdr:row>65</xdr:row>
      <xdr:rowOff>104775</xdr:rowOff>
    </xdr:from>
    <xdr:to>
      <xdr:col>2</xdr:col>
      <xdr:colOff>180975</xdr:colOff>
      <xdr:row>67</xdr:row>
      <xdr:rowOff>333375</xdr:rowOff>
    </xdr:to>
    <xdr:sp macro="" textlink="">
      <xdr:nvSpPr>
        <xdr:cNvPr id="373" name="Rectangle 37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>
          <a:off x="666750" y="31981775"/>
          <a:ext cx="2276475" cy="1117600"/>
        </a:xfrm>
        <a:prstGeom prst="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4</xdr:col>
      <xdr:colOff>571500</xdr:colOff>
      <xdr:row>64</xdr:row>
      <xdr:rowOff>323850</xdr:rowOff>
    </xdr:from>
    <xdr:to>
      <xdr:col>6</xdr:col>
      <xdr:colOff>371475</xdr:colOff>
      <xdr:row>67</xdr:row>
      <xdr:rowOff>419100</xdr:rowOff>
    </xdr:to>
    <xdr:grpSp>
      <xdr:nvGrpSpPr>
        <xdr:cNvPr id="383" name="Group 38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GrpSpPr/>
      </xdr:nvGrpSpPr>
      <xdr:grpSpPr>
        <a:xfrm>
          <a:off x="5219700" y="37509450"/>
          <a:ext cx="1857375" cy="1466850"/>
          <a:chOff x="4171950" y="27070050"/>
          <a:chExt cx="1743075" cy="1409700"/>
        </a:xfrm>
      </xdr:grpSpPr>
      <xdr:sp macro="" textlink="">
        <xdr:nvSpPr>
          <xdr:cNvPr id="374" name="Rectangle 373">
            <a:extLst>
              <a:ext uri="{FF2B5EF4-FFF2-40B4-BE49-F238E27FC236}">
                <a16:creationId xmlns:a16="http://schemas.microsoft.com/office/drawing/2014/main" id="{00000000-0008-0000-0000-000076010000}"/>
              </a:ext>
            </a:extLst>
          </xdr:cNvPr>
          <xdr:cNvSpPr/>
        </xdr:nvSpPr>
        <xdr:spPr>
          <a:xfrm>
            <a:off x="4171950" y="2707005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00000000-0008-0000-0000-000077010000}"/>
              </a:ext>
            </a:extLst>
          </xdr:cNvPr>
          <xdr:cNvGrpSpPr>
            <a:grpSpLocks/>
          </xdr:cNvGrpSpPr>
        </xdr:nvGrpSpPr>
        <xdr:grpSpPr bwMode="auto">
          <a:xfrm>
            <a:off x="4552950" y="27489150"/>
            <a:ext cx="1028700" cy="579455"/>
            <a:chOff x="2060" y="1952"/>
            <a:chExt cx="388" cy="256"/>
          </a:xfrm>
        </xdr:grpSpPr>
        <xdr:sp macro="" textlink="">
          <xdr:nvSpPr>
            <xdr:cNvPr id="376" name="Freeform 29" descr="Wide upward diagonal">
              <a:extLst>
                <a:ext uri="{FF2B5EF4-FFF2-40B4-BE49-F238E27FC236}">
                  <a16:creationId xmlns:a16="http://schemas.microsoft.com/office/drawing/2014/main" id="{00000000-0008-0000-0000-000078010000}"/>
                </a:ext>
              </a:extLst>
            </xdr:cNvPr>
            <xdr:cNvSpPr>
              <a:spLocks/>
            </xdr:cNvSpPr>
          </xdr:nvSpPr>
          <xdr:spPr bwMode="auto">
            <a:xfrm>
              <a:off x="2064" y="1952"/>
              <a:ext cx="384" cy="256"/>
            </a:xfrm>
            <a:custGeom>
              <a:avLst/>
              <a:gdLst>
                <a:gd name="T0" fmla="*/ 0 w 288"/>
                <a:gd name="T1" fmla="*/ 0 h 192"/>
                <a:gd name="T2" fmla="*/ 0 w 288"/>
                <a:gd name="T3" fmla="*/ 192 h 192"/>
                <a:gd name="T4" fmla="*/ 288 w 288"/>
                <a:gd name="T5" fmla="*/ 192 h 192"/>
                <a:gd name="T6" fmla="*/ 288 w 288"/>
                <a:gd name="T7" fmla="*/ 96 h 192"/>
                <a:gd name="T8" fmla="*/ 192 w 288"/>
                <a:gd name="T9" fmla="*/ 0 h 192"/>
                <a:gd name="T10" fmla="*/ 0 w 288"/>
                <a:gd name="T11" fmla="*/ 0 h 192"/>
                <a:gd name="T12" fmla="*/ 0 60000 65536"/>
                <a:gd name="T13" fmla="*/ 0 60000 6553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w 288"/>
                <a:gd name="T19" fmla="*/ 0 h 192"/>
                <a:gd name="T20" fmla="*/ 288 w 288"/>
                <a:gd name="T21" fmla="*/ 192 h 192"/>
              </a:gdLst>
              <a:ahLst/>
              <a:cxnLst>
                <a:cxn ang="T12">
                  <a:pos x="T0" y="T1"/>
                </a:cxn>
                <a:cxn ang="T13">
                  <a:pos x="T2" y="T3"/>
                </a:cxn>
                <a:cxn ang="T14">
                  <a:pos x="T4" y="T5"/>
                </a:cxn>
                <a:cxn ang="T15">
                  <a:pos x="T6" y="T7"/>
                </a:cxn>
                <a:cxn ang="T16">
                  <a:pos x="T8" y="T9"/>
                </a:cxn>
                <a:cxn ang="T17">
                  <a:pos x="T10" y="T11"/>
                </a:cxn>
              </a:cxnLst>
              <a:rect l="T18" t="T19" r="T20" b="T21"/>
              <a:pathLst>
                <a:path w="288" h="192">
                  <a:moveTo>
                    <a:pt x="0" y="0"/>
                  </a:moveTo>
                  <a:lnTo>
                    <a:pt x="0" y="192"/>
                  </a:lnTo>
                  <a:lnTo>
                    <a:pt x="288" y="192"/>
                  </a:lnTo>
                  <a:lnTo>
                    <a:pt x="288" y="96"/>
                  </a:lnTo>
                  <a:lnTo>
                    <a:pt x="192" y="0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  <xdr:sp macro="" textlink="">
          <xdr:nvSpPr>
            <xdr:cNvPr id="377" name="Line 30" descr="Wide upward diagonal">
              <a:extLst>
                <a:ext uri="{FF2B5EF4-FFF2-40B4-BE49-F238E27FC236}">
                  <a16:creationId xmlns:a16="http://schemas.microsoft.com/office/drawing/2014/main" id="{00000000-0008-0000-00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060" y="1952"/>
              <a:ext cx="103" cy="108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  <xdr:sp macro="" textlink="">
          <xdr:nvSpPr>
            <xdr:cNvPr id="378" name="Line 31" descr="Wide upward diagonal">
              <a:extLst>
                <a:ext uri="{FF2B5EF4-FFF2-40B4-BE49-F238E27FC236}">
                  <a16:creationId xmlns:a16="http://schemas.microsoft.com/office/drawing/2014/main" id="{00000000-0008-0000-00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060" y="1952"/>
              <a:ext cx="200" cy="204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  <xdr:sp macro="" textlink="">
          <xdr:nvSpPr>
            <xdr:cNvPr id="379" name="Line 32" descr="Wide upward diagonal">
              <a:extLst>
                <a:ext uri="{FF2B5EF4-FFF2-40B4-BE49-F238E27FC236}">
                  <a16:creationId xmlns:a16="http://schemas.microsoft.com/office/drawing/2014/main" id="{00000000-0008-0000-00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108" y="1964"/>
              <a:ext cx="240" cy="240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  <xdr:sp macro="" textlink="">
          <xdr:nvSpPr>
            <xdr:cNvPr id="380" name="Line 33" descr="Wide upward diagonal">
              <a:extLst>
                <a:ext uri="{FF2B5EF4-FFF2-40B4-BE49-F238E27FC236}">
                  <a16:creationId xmlns:a16="http://schemas.microsoft.com/office/drawing/2014/main" id="{00000000-0008-0000-00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203" y="2012"/>
              <a:ext cx="193" cy="192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  <xdr:sp macro="" textlink="">
          <xdr:nvSpPr>
            <xdr:cNvPr id="381" name="Line 34" descr="Wide upward diagonal">
              <a:extLst>
                <a:ext uri="{FF2B5EF4-FFF2-40B4-BE49-F238E27FC236}">
                  <a16:creationId xmlns:a16="http://schemas.microsoft.com/office/drawing/2014/main" id="{00000000-0008-0000-0000-00007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300" y="2060"/>
              <a:ext cx="142" cy="144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  <xdr:sp macro="" textlink="">
          <xdr:nvSpPr>
            <xdr:cNvPr id="382" name="Line 35" descr="Wide upward diagonal">
              <a:extLst>
                <a:ext uri="{FF2B5EF4-FFF2-40B4-BE49-F238E27FC236}">
                  <a16:creationId xmlns:a16="http://schemas.microsoft.com/office/drawing/2014/main" id="{00000000-0008-0000-0000-00007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396" y="2156"/>
              <a:ext cx="48" cy="48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sz="1229"/>
            </a:p>
          </xdr:txBody>
        </xdr:sp>
      </xdr:grpSp>
    </xdr:grpSp>
    <xdr:clientData/>
  </xdr:twoCellAnchor>
  <xdr:twoCellAnchor>
    <xdr:from>
      <xdr:col>0</xdr:col>
      <xdr:colOff>514350</xdr:colOff>
      <xdr:row>69</xdr:row>
      <xdr:rowOff>333375</xdr:rowOff>
    </xdr:from>
    <xdr:to>
      <xdr:col>2</xdr:col>
      <xdr:colOff>333375</xdr:colOff>
      <xdr:row>72</xdr:row>
      <xdr:rowOff>428625</xdr:rowOff>
    </xdr:to>
    <xdr:grpSp>
      <xdr:nvGrpSpPr>
        <xdr:cNvPr id="391" name="Group 390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GrpSpPr/>
      </xdr:nvGrpSpPr>
      <xdr:grpSpPr>
        <a:xfrm>
          <a:off x="514350" y="39804975"/>
          <a:ext cx="2638425" cy="1466850"/>
          <a:chOff x="485775" y="29317950"/>
          <a:chExt cx="1743075" cy="1409700"/>
        </a:xfrm>
      </xdr:grpSpPr>
      <xdr:sp macro="" textlink="">
        <xdr:nvSpPr>
          <xdr:cNvPr id="384" name="Rectangle 383">
            <a:extLst>
              <a:ext uri="{FF2B5EF4-FFF2-40B4-BE49-F238E27FC236}">
                <a16:creationId xmlns:a16="http://schemas.microsoft.com/office/drawing/2014/main" id="{00000000-0008-0000-0000-000080010000}"/>
              </a:ext>
            </a:extLst>
          </xdr:cNvPr>
          <xdr:cNvSpPr/>
        </xdr:nvSpPr>
        <xdr:spPr>
          <a:xfrm>
            <a:off x="485775" y="2931795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88" name="Freeform 41">
            <a:extLst>
              <a:ext uri="{FF2B5EF4-FFF2-40B4-BE49-F238E27FC236}">
                <a16:creationId xmlns:a16="http://schemas.microsoft.com/office/drawing/2014/main" id="{00000000-0008-0000-0000-000084010000}"/>
              </a:ext>
            </a:extLst>
          </xdr:cNvPr>
          <xdr:cNvSpPr>
            <a:spLocks/>
          </xdr:cNvSpPr>
        </xdr:nvSpPr>
        <xdr:spPr bwMode="auto">
          <a:xfrm>
            <a:off x="1082830" y="29762685"/>
            <a:ext cx="788018" cy="390065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noFill/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  <xdr:sp macro="" textlink="">
        <xdr:nvSpPr>
          <xdr:cNvPr id="389" name="Freeform 42">
            <a:extLst>
              <a:ext uri="{FF2B5EF4-FFF2-40B4-BE49-F238E27FC236}">
                <a16:creationId xmlns:a16="http://schemas.microsoft.com/office/drawing/2014/main" id="{00000000-0008-0000-0000-000085010000}"/>
              </a:ext>
            </a:extLst>
          </xdr:cNvPr>
          <xdr:cNvSpPr>
            <a:spLocks/>
          </xdr:cNvSpPr>
        </xdr:nvSpPr>
        <xdr:spPr bwMode="auto">
          <a:xfrm>
            <a:off x="984327" y="29835822"/>
            <a:ext cx="788018" cy="390065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  <xdr:sp macro="" textlink="">
        <xdr:nvSpPr>
          <xdr:cNvPr id="390" name="Freeform 43">
            <a:extLst>
              <a:ext uri="{FF2B5EF4-FFF2-40B4-BE49-F238E27FC236}">
                <a16:creationId xmlns:a16="http://schemas.microsoft.com/office/drawing/2014/main" id="{00000000-0008-0000-0000-000086010000}"/>
              </a:ext>
            </a:extLst>
          </xdr:cNvPr>
          <xdr:cNvSpPr>
            <a:spLocks/>
          </xdr:cNvSpPr>
        </xdr:nvSpPr>
        <xdr:spPr bwMode="auto">
          <a:xfrm>
            <a:off x="885825" y="29908960"/>
            <a:ext cx="788018" cy="390065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4</xdr:col>
      <xdr:colOff>495300</xdr:colOff>
      <xdr:row>69</xdr:row>
      <xdr:rowOff>352425</xdr:rowOff>
    </xdr:from>
    <xdr:to>
      <xdr:col>6</xdr:col>
      <xdr:colOff>295275</xdr:colOff>
      <xdr:row>73</xdr:row>
      <xdr:rowOff>9525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GrpSpPr/>
      </xdr:nvGrpSpPr>
      <xdr:grpSpPr>
        <a:xfrm>
          <a:off x="5143500" y="39824025"/>
          <a:ext cx="1857375" cy="1485900"/>
          <a:chOff x="4086225" y="29270325"/>
          <a:chExt cx="1743075" cy="1409700"/>
        </a:xfrm>
      </xdr:grpSpPr>
      <xdr:sp macro="" textlink="">
        <xdr:nvSpPr>
          <xdr:cNvPr id="393" name="Rectangle 392">
            <a:extLst>
              <a:ext uri="{FF2B5EF4-FFF2-40B4-BE49-F238E27FC236}">
                <a16:creationId xmlns:a16="http://schemas.microsoft.com/office/drawing/2014/main" id="{00000000-0008-0000-0000-000089010000}"/>
              </a:ext>
            </a:extLst>
          </xdr:cNvPr>
          <xdr:cNvSpPr/>
        </xdr:nvSpPr>
        <xdr:spPr>
          <a:xfrm>
            <a:off x="4086225" y="29270325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443" name="Group 442">
            <a:extLst>
              <a:ext uri="{FF2B5EF4-FFF2-40B4-BE49-F238E27FC236}">
                <a16:creationId xmlns:a16="http://schemas.microsoft.com/office/drawing/2014/main" id="{00000000-0008-0000-0000-0000BB010000}"/>
              </a:ext>
            </a:extLst>
          </xdr:cNvPr>
          <xdr:cNvGrpSpPr/>
        </xdr:nvGrpSpPr>
        <xdr:grpSpPr>
          <a:xfrm>
            <a:off x="4276725" y="29584650"/>
            <a:ext cx="1447800" cy="817580"/>
            <a:chOff x="7248525" y="29489400"/>
            <a:chExt cx="1447800" cy="817580"/>
          </a:xfrm>
        </xdr:grpSpPr>
        <xdr:grpSp>
          <xdr:nvGrpSpPr>
            <xdr:cNvPr id="419" name="Group 418">
              <a:extLst>
                <a:ext uri="{FF2B5EF4-FFF2-40B4-BE49-F238E27FC236}">
                  <a16:creationId xmlns:a16="http://schemas.microsoft.com/office/drawing/2014/main" id="{00000000-0008-0000-0000-0000A3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667625" y="29489400"/>
              <a:ext cx="1028700" cy="579455"/>
              <a:chOff x="2060" y="1952"/>
              <a:chExt cx="388" cy="256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420" name="Freeform 29" descr="Wide upward diagonal">
                <a:extLst>
                  <a:ext uri="{FF2B5EF4-FFF2-40B4-BE49-F238E27FC236}">
                    <a16:creationId xmlns:a16="http://schemas.microsoft.com/office/drawing/2014/main" id="{00000000-0008-0000-0000-0000A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4" y="1952"/>
                <a:ext cx="384" cy="256"/>
              </a:xfrm>
              <a:custGeom>
                <a:avLst/>
                <a:gdLst>
                  <a:gd name="T0" fmla="*/ 0 w 288"/>
                  <a:gd name="T1" fmla="*/ 0 h 192"/>
                  <a:gd name="T2" fmla="*/ 0 w 288"/>
                  <a:gd name="T3" fmla="*/ 192 h 192"/>
                  <a:gd name="T4" fmla="*/ 288 w 288"/>
                  <a:gd name="T5" fmla="*/ 192 h 192"/>
                  <a:gd name="T6" fmla="*/ 288 w 288"/>
                  <a:gd name="T7" fmla="*/ 96 h 192"/>
                  <a:gd name="T8" fmla="*/ 192 w 288"/>
                  <a:gd name="T9" fmla="*/ 0 h 192"/>
                  <a:gd name="T10" fmla="*/ 0 w 288"/>
                  <a:gd name="T11" fmla="*/ 0 h 192"/>
                  <a:gd name="T12" fmla="*/ 0 60000 65536"/>
                  <a:gd name="T13" fmla="*/ 0 60000 65536"/>
                  <a:gd name="T14" fmla="*/ 0 60000 65536"/>
                  <a:gd name="T15" fmla="*/ 0 60000 65536"/>
                  <a:gd name="T16" fmla="*/ 0 60000 65536"/>
                  <a:gd name="T17" fmla="*/ 0 60000 65536"/>
                  <a:gd name="T18" fmla="*/ 0 w 288"/>
                  <a:gd name="T19" fmla="*/ 0 h 192"/>
                  <a:gd name="T20" fmla="*/ 288 w 288"/>
                  <a:gd name="T21" fmla="*/ 192 h 192"/>
                </a:gdLst>
                <a:ahLst/>
                <a:cxnLst>
                  <a:cxn ang="T12">
                    <a:pos x="T0" y="T1"/>
                  </a:cxn>
                  <a:cxn ang="T13">
                    <a:pos x="T2" y="T3"/>
                  </a:cxn>
                  <a:cxn ang="T14">
                    <a:pos x="T4" y="T5"/>
                  </a:cxn>
                  <a:cxn ang="T15">
                    <a:pos x="T6" y="T7"/>
                  </a:cxn>
                  <a:cxn ang="T16">
                    <a:pos x="T8" y="T9"/>
                  </a:cxn>
                  <a:cxn ang="T17">
                    <a:pos x="T10" y="T11"/>
                  </a:cxn>
                </a:cxnLst>
                <a:rect l="T18" t="T19" r="T20" b="T21"/>
                <a:pathLst>
                  <a:path w="288" h="192">
                    <a:moveTo>
                      <a:pt x="0" y="0"/>
                    </a:moveTo>
                    <a:lnTo>
                      <a:pt x="0" y="192"/>
                    </a:lnTo>
                    <a:lnTo>
                      <a:pt x="288" y="192"/>
                    </a:lnTo>
                    <a:lnTo>
                      <a:pt x="288" y="96"/>
                    </a:lnTo>
                    <a:lnTo>
                      <a:pt x="192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altLang="en-US" sz="1600"/>
              </a:p>
            </xdr:txBody>
          </xdr:sp>
          <xdr:sp macro="" textlink="">
            <xdr:nvSpPr>
              <xdr:cNvPr id="421" name="Line 30" descr="Wide upward diagonal">
                <a:extLst>
                  <a:ext uri="{FF2B5EF4-FFF2-40B4-BE49-F238E27FC236}">
                    <a16:creationId xmlns:a16="http://schemas.microsoft.com/office/drawing/2014/main" id="{00000000-0008-0000-0000-0000A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103" cy="10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22" name="Line 31" descr="Wide upward diagonal">
                <a:extLst>
                  <a:ext uri="{FF2B5EF4-FFF2-40B4-BE49-F238E27FC236}">
                    <a16:creationId xmlns:a16="http://schemas.microsoft.com/office/drawing/2014/main" id="{00000000-0008-0000-0000-0000A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200" cy="20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23" name="Line 32" descr="Wide upward diagonal">
                <a:extLst>
                  <a:ext uri="{FF2B5EF4-FFF2-40B4-BE49-F238E27FC236}">
                    <a16:creationId xmlns:a16="http://schemas.microsoft.com/office/drawing/2014/main" id="{00000000-0008-0000-0000-0000A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108" y="1964"/>
                <a:ext cx="240" cy="240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24" name="Line 33" descr="Wide upward diagonal">
                <a:extLst>
                  <a:ext uri="{FF2B5EF4-FFF2-40B4-BE49-F238E27FC236}">
                    <a16:creationId xmlns:a16="http://schemas.microsoft.com/office/drawing/2014/main" id="{00000000-0008-0000-0000-0000A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203" y="2012"/>
                <a:ext cx="193" cy="192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25" name="Line 34" descr="Wide upward diagonal">
                <a:extLst>
                  <a:ext uri="{FF2B5EF4-FFF2-40B4-BE49-F238E27FC236}">
                    <a16:creationId xmlns:a16="http://schemas.microsoft.com/office/drawing/2014/main" id="{00000000-0008-0000-0000-0000A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00" y="2060"/>
                <a:ext cx="142" cy="14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26" name="Line 35" descr="Wide upward diagonal">
                <a:extLst>
                  <a:ext uri="{FF2B5EF4-FFF2-40B4-BE49-F238E27FC236}">
                    <a16:creationId xmlns:a16="http://schemas.microsoft.com/office/drawing/2014/main" id="{00000000-0008-0000-0000-0000A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96" y="2156"/>
                <a:ext cx="48" cy="4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</xdr:grpSp>
        <xdr:grpSp>
          <xdr:nvGrpSpPr>
            <xdr:cNvPr id="427" name="Group 426">
              <a:extLst>
                <a:ext uri="{FF2B5EF4-FFF2-40B4-BE49-F238E27FC236}">
                  <a16:creationId xmlns:a16="http://schemas.microsoft.com/office/drawing/2014/main" id="{00000000-0008-0000-0000-0000A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467600" y="29632275"/>
              <a:ext cx="1028700" cy="579455"/>
              <a:chOff x="2060" y="1952"/>
              <a:chExt cx="388" cy="256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428" name="Freeform 29" descr="Wide upward diagonal">
                <a:extLst>
                  <a:ext uri="{FF2B5EF4-FFF2-40B4-BE49-F238E27FC236}">
                    <a16:creationId xmlns:a16="http://schemas.microsoft.com/office/drawing/2014/main" id="{00000000-0008-0000-0000-0000AC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4" y="1952"/>
                <a:ext cx="384" cy="256"/>
              </a:xfrm>
              <a:custGeom>
                <a:avLst/>
                <a:gdLst>
                  <a:gd name="T0" fmla="*/ 0 w 288"/>
                  <a:gd name="T1" fmla="*/ 0 h 192"/>
                  <a:gd name="T2" fmla="*/ 0 w 288"/>
                  <a:gd name="T3" fmla="*/ 192 h 192"/>
                  <a:gd name="T4" fmla="*/ 288 w 288"/>
                  <a:gd name="T5" fmla="*/ 192 h 192"/>
                  <a:gd name="T6" fmla="*/ 288 w 288"/>
                  <a:gd name="T7" fmla="*/ 96 h 192"/>
                  <a:gd name="T8" fmla="*/ 192 w 288"/>
                  <a:gd name="T9" fmla="*/ 0 h 192"/>
                  <a:gd name="T10" fmla="*/ 0 w 288"/>
                  <a:gd name="T11" fmla="*/ 0 h 192"/>
                  <a:gd name="T12" fmla="*/ 0 60000 65536"/>
                  <a:gd name="T13" fmla="*/ 0 60000 65536"/>
                  <a:gd name="T14" fmla="*/ 0 60000 65536"/>
                  <a:gd name="T15" fmla="*/ 0 60000 65536"/>
                  <a:gd name="T16" fmla="*/ 0 60000 65536"/>
                  <a:gd name="T17" fmla="*/ 0 60000 65536"/>
                  <a:gd name="T18" fmla="*/ 0 w 288"/>
                  <a:gd name="T19" fmla="*/ 0 h 192"/>
                  <a:gd name="T20" fmla="*/ 288 w 288"/>
                  <a:gd name="T21" fmla="*/ 192 h 192"/>
                </a:gdLst>
                <a:ahLst/>
                <a:cxnLst>
                  <a:cxn ang="T12">
                    <a:pos x="T0" y="T1"/>
                  </a:cxn>
                  <a:cxn ang="T13">
                    <a:pos x="T2" y="T3"/>
                  </a:cxn>
                  <a:cxn ang="T14">
                    <a:pos x="T4" y="T5"/>
                  </a:cxn>
                  <a:cxn ang="T15">
                    <a:pos x="T6" y="T7"/>
                  </a:cxn>
                  <a:cxn ang="T16">
                    <a:pos x="T8" y="T9"/>
                  </a:cxn>
                  <a:cxn ang="T17">
                    <a:pos x="T10" y="T11"/>
                  </a:cxn>
                </a:cxnLst>
                <a:rect l="T18" t="T19" r="T20" b="T21"/>
                <a:pathLst>
                  <a:path w="288" h="192">
                    <a:moveTo>
                      <a:pt x="0" y="0"/>
                    </a:moveTo>
                    <a:lnTo>
                      <a:pt x="0" y="192"/>
                    </a:lnTo>
                    <a:lnTo>
                      <a:pt x="288" y="192"/>
                    </a:lnTo>
                    <a:lnTo>
                      <a:pt x="288" y="96"/>
                    </a:lnTo>
                    <a:lnTo>
                      <a:pt x="192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altLang="en-US" sz="1600"/>
              </a:p>
            </xdr:txBody>
          </xdr:sp>
          <xdr:sp macro="" textlink="">
            <xdr:nvSpPr>
              <xdr:cNvPr id="429" name="Line 30" descr="Wide upward diagonal">
                <a:extLst>
                  <a:ext uri="{FF2B5EF4-FFF2-40B4-BE49-F238E27FC236}">
                    <a16:creationId xmlns:a16="http://schemas.microsoft.com/office/drawing/2014/main" id="{00000000-0008-0000-0000-0000A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103" cy="10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0" name="Line 31" descr="Wide upward diagonal">
                <a:extLst>
                  <a:ext uri="{FF2B5EF4-FFF2-40B4-BE49-F238E27FC236}">
                    <a16:creationId xmlns:a16="http://schemas.microsoft.com/office/drawing/2014/main" id="{00000000-0008-0000-0000-0000A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200" cy="20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1" name="Line 32" descr="Wide upward diagonal">
                <a:extLst>
                  <a:ext uri="{FF2B5EF4-FFF2-40B4-BE49-F238E27FC236}">
                    <a16:creationId xmlns:a16="http://schemas.microsoft.com/office/drawing/2014/main" id="{00000000-0008-0000-0000-0000A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108" y="1964"/>
                <a:ext cx="240" cy="240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2" name="Line 33" descr="Wide upward diagonal">
                <a:extLst>
                  <a:ext uri="{FF2B5EF4-FFF2-40B4-BE49-F238E27FC236}">
                    <a16:creationId xmlns:a16="http://schemas.microsoft.com/office/drawing/2014/main" id="{00000000-0008-0000-0000-0000B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203" y="2012"/>
                <a:ext cx="193" cy="192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3" name="Line 34" descr="Wide upward diagonal">
                <a:extLst>
                  <a:ext uri="{FF2B5EF4-FFF2-40B4-BE49-F238E27FC236}">
                    <a16:creationId xmlns:a16="http://schemas.microsoft.com/office/drawing/2014/main" id="{00000000-0008-0000-0000-0000B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00" y="2060"/>
                <a:ext cx="142" cy="14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4" name="Line 35" descr="Wide upward diagonal">
                <a:extLst>
                  <a:ext uri="{FF2B5EF4-FFF2-40B4-BE49-F238E27FC236}">
                    <a16:creationId xmlns:a16="http://schemas.microsoft.com/office/drawing/2014/main" id="{00000000-0008-0000-0000-0000B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96" y="2156"/>
                <a:ext cx="48" cy="4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</xdr:grpSp>
        <xdr:grpSp>
          <xdr:nvGrpSpPr>
            <xdr:cNvPr id="435" name="Group 434">
              <a:extLst>
                <a:ext uri="{FF2B5EF4-FFF2-40B4-BE49-F238E27FC236}">
                  <a16:creationId xmlns:a16="http://schemas.microsoft.com/office/drawing/2014/main" id="{00000000-0008-0000-0000-0000B3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248525" y="29727525"/>
              <a:ext cx="1028700" cy="579455"/>
              <a:chOff x="2060" y="1952"/>
              <a:chExt cx="388" cy="256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436" name="Freeform 29" descr="Wide upward diagonal">
                <a:extLst>
                  <a:ext uri="{FF2B5EF4-FFF2-40B4-BE49-F238E27FC236}">
                    <a16:creationId xmlns:a16="http://schemas.microsoft.com/office/drawing/2014/main" id="{00000000-0008-0000-0000-0000B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4" y="1952"/>
                <a:ext cx="384" cy="256"/>
              </a:xfrm>
              <a:custGeom>
                <a:avLst/>
                <a:gdLst>
                  <a:gd name="T0" fmla="*/ 0 w 288"/>
                  <a:gd name="T1" fmla="*/ 0 h 192"/>
                  <a:gd name="T2" fmla="*/ 0 w 288"/>
                  <a:gd name="T3" fmla="*/ 192 h 192"/>
                  <a:gd name="T4" fmla="*/ 288 w 288"/>
                  <a:gd name="T5" fmla="*/ 192 h 192"/>
                  <a:gd name="T6" fmla="*/ 288 w 288"/>
                  <a:gd name="T7" fmla="*/ 96 h 192"/>
                  <a:gd name="T8" fmla="*/ 192 w 288"/>
                  <a:gd name="T9" fmla="*/ 0 h 192"/>
                  <a:gd name="T10" fmla="*/ 0 w 288"/>
                  <a:gd name="T11" fmla="*/ 0 h 192"/>
                  <a:gd name="T12" fmla="*/ 0 60000 65536"/>
                  <a:gd name="T13" fmla="*/ 0 60000 65536"/>
                  <a:gd name="T14" fmla="*/ 0 60000 65536"/>
                  <a:gd name="T15" fmla="*/ 0 60000 65536"/>
                  <a:gd name="T16" fmla="*/ 0 60000 65536"/>
                  <a:gd name="T17" fmla="*/ 0 60000 65536"/>
                  <a:gd name="T18" fmla="*/ 0 w 288"/>
                  <a:gd name="T19" fmla="*/ 0 h 192"/>
                  <a:gd name="T20" fmla="*/ 288 w 288"/>
                  <a:gd name="T21" fmla="*/ 192 h 192"/>
                </a:gdLst>
                <a:ahLst/>
                <a:cxnLst>
                  <a:cxn ang="T12">
                    <a:pos x="T0" y="T1"/>
                  </a:cxn>
                  <a:cxn ang="T13">
                    <a:pos x="T2" y="T3"/>
                  </a:cxn>
                  <a:cxn ang="T14">
                    <a:pos x="T4" y="T5"/>
                  </a:cxn>
                  <a:cxn ang="T15">
                    <a:pos x="T6" y="T7"/>
                  </a:cxn>
                  <a:cxn ang="T16">
                    <a:pos x="T8" y="T9"/>
                  </a:cxn>
                  <a:cxn ang="T17">
                    <a:pos x="T10" y="T11"/>
                  </a:cxn>
                </a:cxnLst>
                <a:rect l="T18" t="T19" r="T20" b="T21"/>
                <a:pathLst>
                  <a:path w="288" h="192">
                    <a:moveTo>
                      <a:pt x="0" y="0"/>
                    </a:moveTo>
                    <a:lnTo>
                      <a:pt x="0" y="192"/>
                    </a:lnTo>
                    <a:lnTo>
                      <a:pt x="288" y="192"/>
                    </a:lnTo>
                    <a:lnTo>
                      <a:pt x="288" y="96"/>
                    </a:lnTo>
                    <a:lnTo>
                      <a:pt x="192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altLang="en-US" sz="1600"/>
              </a:p>
            </xdr:txBody>
          </xdr:sp>
          <xdr:sp macro="" textlink="">
            <xdr:nvSpPr>
              <xdr:cNvPr id="437" name="Line 30" descr="Wide upward diagonal">
                <a:extLst>
                  <a:ext uri="{FF2B5EF4-FFF2-40B4-BE49-F238E27FC236}">
                    <a16:creationId xmlns:a16="http://schemas.microsoft.com/office/drawing/2014/main" id="{00000000-0008-0000-0000-0000B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103" cy="10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8" name="Line 31" descr="Wide upward diagonal">
                <a:extLst>
                  <a:ext uri="{FF2B5EF4-FFF2-40B4-BE49-F238E27FC236}">
                    <a16:creationId xmlns:a16="http://schemas.microsoft.com/office/drawing/2014/main" id="{00000000-0008-0000-0000-0000B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060" y="1952"/>
                <a:ext cx="200" cy="20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39" name="Line 32" descr="Wide upward diagonal">
                <a:extLst>
                  <a:ext uri="{FF2B5EF4-FFF2-40B4-BE49-F238E27FC236}">
                    <a16:creationId xmlns:a16="http://schemas.microsoft.com/office/drawing/2014/main" id="{00000000-0008-0000-0000-0000B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108" y="1964"/>
                <a:ext cx="240" cy="240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40" name="Line 33" descr="Wide upward diagonal">
                <a:extLst>
                  <a:ext uri="{FF2B5EF4-FFF2-40B4-BE49-F238E27FC236}">
                    <a16:creationId xmlns:a16="http://schemas.microsoft.com/office/drawing/2014/main" id="{00000000-0008-0000-0000-0000B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203" y="2012"/>
                <a:ext cx="193" cy="192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41" name="Line 34" descr="Wide upward diagonal">
                <a:extLst>
                  <a:ext uri="{FF2B5EF4-FFF2-40B4-BE49-F238E27FC236}">
                    <a16:creationId xmlns:a16="http://schemas.microsoft.com/office/drawing/2014/main" id="{00000000-0008-0000-0000-0000B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00" y="2060"/>
                <a:ext cx="142" cy="144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  <xdr:sp macro="" textlink="">
            <xdr:nvSpPr>
              <xdr:cNvPr id="442" name="Line 35" descr="Wide upward diagonal">
                <a:extLst>
                  <a:ext uri="{FF2B5EF4-FFF2-40B4-BE49-F238E27FC236}">
                    <a16:creationId xmlns:a16="http://schemas.microsoft.com/office/drawing/2014/main" id="{00000000-0008-0000-0000-0000B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2396" y="2156"/>
                <a:ext cx="48" cy="48"/>
              </a:xfrm>
              <a:prstGeom prst="line">
                <a:avLst/>
              </a:prstGeom>
              <a:grpFill/>
              <a:ln w="28575">
                <a:solidFill>
                  <a:schemeClr val="tx1"/>
                </a:solidFill>
                <a:round/>
                <a:headEnd/>
                <a:tailEnd/>
              </a:ln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</a:pPr>
                <a:endParaRPr lang="en-GB" sz="1229"/>
              </a:p>
            </xdr:txBody>
          </xdr:sp>
        </xdr:grpSp>
      </xdr:grpSp>
    </xdr:grpSp>
    <xdr:clientData/>
  </xdr:twoCellAnchor>
  <xdr:twoCellAnchor>
    <xdr:from>
      <xdr:col>0</xdr:col>
      <xdr:colOff>514350</xdr:colOff>
      <xdr:row>74</xdr:row>
      <xdr:rowOff>314325</xdr:rowOff>
    </xdr:from>
    <xdr:to>
      <xdr:col>2</xdr:col>
      <xdr:colOff>333375</xdr:colOff>
      <xdr:row>77</xdr:row>
      <xdr:rowOff>409575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GrpSpPr/>
      </xdr:nvGrpSpPr>
      <xdr:grpSpPr>
        <a:xfrm>
          <a:off x="514350" y="42071925"/>
          <a:ext cx="2638425" cy="1466850"/>
          <a:chOff x="504825" y="31394400"/>
          <a:chExt cx="1743075" cy="1409700"/>
        </a:xfrm>
      </xdr:grpSpPr>
      <xdr:sp macro="" textlink="">
        <xdr:nvSpPr>
          <xdr:cNvPr id="446" name="Rectangle 445">
            <a:extLst>
              <a:ext uri="{FF2B5EF4-FFF2-40B4-BE49-F238E27FC236}">
                <a16:creationId xmlns:a16="http://schemas.microsoft.com/office/drawing/2014/main" id="{00000000-0008-0000-0000-0000BE010000}"/>
              </a:ext>
            </a:extLst>
          </xdr:cNvPr>
          <xdr:cNvSpPr/>
        </xdr:nvSpPr>
        <xdr:spPr>
          <a:xfrm>
            <a:off x="504825" y="313944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49" name="Freeform 43">
            <a:extLst>
              <a:ext uri="{FF2B5EF4-FFF2-40B4-BE49-F238E27FC236}">
                <a16:creationId xmlns:a16="http://schemas.microsoft.com/office/drawing/2014/main" id="{00000000-0008-0000-0000-0000C1010000}"/>
              </a:ext>
            </a:extLst>
          </xdr:cNvPr>
          <xdr:cNvSpPr>
            <a:spLocks/>
          </xdr:cNvSpPr>
        </xdr:nvSpPr>
        <xdr:spPr bwMode="auto">
          <a:xfrm>
            <a:off x="819149" y="31842076"/>
            <a:ext cx="1000125" cy="552450"/>
          </a:xfrm>
          <a:custGeom>
            <a:avLst/>
            <a:gdLst>
              <a:gd name="T0" fmla="*/ 0 w 288"/>
              <a:gd name="T1" fmla="*/ 0 h 192"/>
              <a:gd name="T2" fmla="*/ 0 w 288"/>
              <a:gd name="T3" fmla="*/ 192 h 192"/>
              <a:gd name="T4" fmla="*/ 288 w 288"/>
              <a:gd name="T5" fmla="*/ 192 h 192"/>
              <a:gd name="T6" fmla="*/ 288 w 288"/>
              <a:gd name="T7" fmla="*/ 96 h 192"/>
              <a:gd name="T8" fmla="*/ 192 w 288"/>
              <a:gd name="T9" fmla="*/ 0 h 192"/>
              <a:gd name="T10" fmla="*/ 0 w 288"/>
              <a:gd name="T11" fmla="*/ 0 h 192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88"/>
              <a:gd name="T19" fmla="*/ 0 h 192"/>
              <a:gd name="T20" fmla="*/ 288 w 288"/>
              <a:gd name="T21" fmla="*/ 192 h 192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88" h="192">
                <a:moveTo>
                  <a:pt x="0" y="0"/>
                </a:moveTo>
                <a:lnTo>
                  <a:pt x="0" y="192"/>
                </a:lnTo>
                <a:lnTo>
                  <a:pt x="288" y="192"/>
                </a:lnTo>
                <a:lnTo>
                  <a:pt x="288" y="96"/>
                </a:lnTo>
                <a:lnTo>
                  <a:pt x="192" y="0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222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4</xdr:col>
      <xdr:colOff>495300</xdr:colOff>
      <xdr:row>74</xdr:row>
      <xdr:rowOff>342900</xdr:rowOff>
    </xdr:from>
    <xdr:to>
      <xdr:col>6</xdr:col>
      <xdr:colOff>295275</xdr:colOff>
      <xdr:row>78</xdr:row>
      <xdr:rowOff>0</xdr:rowOff>
    </xdr:to>
    <xdr:grpSp>
      <xdr:nvGrpSpPr>
        <xdr:cNvPr id="455" name="Group 454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GrpSpPr/>
      </xdr:nvGrpSpPr>
      <xdr:grpSpPr>
        <a:xfrm>
          <a:off x="5143500" y="42100500"/>
          <a:ext cx="1857375" cy="1485900"/>
          <a:chOff x="4000500" y="31489650"/>
          <a:chExt cx="1743075" cy="1409700"/>
        </a:xfrm>
      </xdr:grpSpPr>
      <xdr:sp macro="" textlink="">
        <xdr:nvSpPr>
          <xdr:cNvPr id="452" name="Rectangle 451">
            <a:extLst>
              <a:ext uri="{FF2B5EF4-FFF2-40B4-BE49-F238E27FC236}">
                <a16:creationId xmlns:a16="http://schemas.microsoft.com/office/drawing/2014/main" id="{00000000-0008-0000-0000-0000C4010000}"/>
              </a:ext>
            </a:extLst>
          </xdr:cNvPr>
          <xdr:cNvSpPr/>
        </xdr:nvSpPr>
        <xdr:spPr>
          <a:xfrm>
            <a:off x="4000500" y="3148965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54" name="Isosceles Triangle 453">
            <a:extLst>
              <a:ext uri="{FF2B5EF4-FFF2-40B4-BE49-F238E27FC236}">
                <a16:creationId xmlns:a16="http://schemas.microsoft.com/office/drawing/2014/main" id="{00000000-0008-0000-0000-0000C6010000}"/>
              </a:ext>
            </a:extLst>
          </xdr:cNvPr>
          <xdr:cNvSpPr/>
        </xdr:nvSpPr>
        <xdr:spPr>
          <a:xfrm rot="10800000">
            <a:off x="4391025" y="31899225"/>
            <a:ext cx="952500" cy="666750"/>
          </a:xfrm>
          <a:prstGeom prst="triangle">
            <a:avLst/>
          </a:prstGeom>
          <a:solidFill>
            <a:schemeClr val="accent1">
              <a:lumMod val="20000"/>
              <a:lumOff val="80000"/>
            </a:schemeClr>
          </a:solidFill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504825</xdr:colOff>
      <xdr:row>79</xdr:row>
      <xdr:rowOff>381000</xdr:rowOff>
    </xdr:from>
    <xdr:to>
      <xdr:col>2</xdr:col>
      <xdr:colOff>323850</xdr:colOff>
      <xdr:row>83</xdr:row>
      <xdr:rowOff>38100</xdr:rowOff>
    </xdr:to>
    <xdr:grpSp>
      <xdr:nvGrpSpPr>
        <xdr:cNvPr id="460" name="Group 459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GrpSpPr/>
      </xdr:nvGrpSpPr>
      <xdr:grpSpPr>
        <a:xfrm>
          <a:off x="504825" y="44424600"/>
          <a:ext cx="2638425" cy="1485900"/>
          <a:chOff x="542925" y="33461325"/>
          <a:chExt cx="1743075" cy="1409700"/>
        </a:xfrm>
      </xdr:grpSpPr>
      <xdr:sp macro="" textlink="">
        <xdr:nvSpPr>
          <xdr:cNvPr id="458" name="Rectangle 457">
            <a:extLst>
              <a:ext uri="{FF2B5EF4-FFF2-40B4-BE49-F238E27FC236}">
                <a16:creationId xmlns:a16="http://schemas.microsoft.com/office/drawing/2014/main" id="{00000000-0008-0000-0000-0000CA010000}"/>
              </a:ext>
            </a:extLst>
          </xdr:cNvPr>
          <xdr:cNvSpPr/>
        </xdr:nvSpPr>
        <xdr:spPr>
          <a:xfrm>
            <a:off x="542925" y="33461325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56" name="Rectangle 455">
            <a:extLst>
              <a:ext uri="{FF2B5EF4-FFF2-40B4-BE49-F238E27FC236}">
                <a16:creationId xmlns:a16="http://schemas.microsoft.com/office/drawing/2014/main" id="{00000000-0008-0000-0000-0000C8010000}"/>
              </a:ext>
            </a:extLst>
          </xdr:cNvPr>
          <xdr:cNvSpPr>
            <a:spLocks noChangeArrowheads="1"/>
          </xdr:cNvSpPr>
        </xdr:nvSpPr>
        <xdr:spPr bwMode="auto">
          <a:xfrm>
            <a:off x="800100" y="33889950"/>
            <a:ext cx="1219199" cy="514349"/>
          </a:xfrm>
          <a:prstGeom prst="rect">
            <a:avLst/>
          </a:prstGeom>
          <a:noFill/>
          <a:ln w="28575" algn="ctr">
            <a:solidFill>
              <a:schemeClr val="tx1"/>
            </a:solidFill>
            <a:miter lim="800000"/>
            <a:headEnd/>
            <a:tailEnd/>
          </a:ln>
          <a:effectLst/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0" hangingPunct="0">
              <a:lnSpc>
                <a:spcPct val="90000"/>
              </a:lnSpc>
              <a:spcBef>
                <a:spcPts val="750"/>
              </a:spcBef>
              <a:defRPr/>
            </a:pPr>
            <a:r>
              <a:rPr lang="en-US" sz="1245"/>
              <a:t>OXOX</a:t>
            </a:r>
          </a:p>
        </xdr:txBody>
      </xdr:sp>
    </xdr:grpSp>
    <xdr:clientData/>
  </xdr:twoCellAnchor>
  <xdr:twoCellAnchor>
    <xdr:from>
      <xdr:col>4</xdr:col>
      <xdr:colOff>552450</xdr:colOff>
      <xdr:row>79</xdr:row>
      <xdr:rowOff>381000</xdr:rowOff>
    </xdr:from>
    <xdr:to>
      <xdr:col>6</xdr:col>
      <xdr:colOff>352425</xdr:colOff>
      <xdr:row>83</xdr:row>
      <xdr:rowOff>38100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GrpSpPr/>
      </xdr:nvGrpSpPr>
      <xdr:grpSpPr>
        <a:xfrm>
          <a:off x="5200650" y="44424600"/>
          <a:ext cx="1857375" cy="1485900"/>
          <a:chOff x="542925" y="33461325"/>
          <a:chExt cx="1743075" cy="1409700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000-0000CF010000}"/>
              </a:ext>
            </a:extLst>
          </xdr:cNvPr>
          <xdr:cNvSpPr/>
        </xdr:nvSpPr>
        <xdr:spPr>
          <a:xfrm>
            <a:off x="542925" y="33461325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64" name="Rectangle 463">
            <a:extLst>
              <a:ext uri="{FF2B5EF4-FFF2-40B4-BE49-F238E27FC236}">
                <a16:creationId xmlns:a16="http://schemas.microsoft.com/office/drawing/2014/main" id="{00000000-0008-0000-0000-0000D0010000}"/>
              </a:ext>
            </a:extLst>
          </xdr:cNvPr>
          <xdr:cNvSpPr>
            <a:spLocks noChangeArrowheads="1"/>
          </xdr:cNvSpPr>
        </xdr:nvSpPr>
        <xdr:spPr bwMode="auto">
          <a:xfrm>
            <a:off x="800100" y="33889950"/>
            <a:ext cx="1219199" cy="514349"/>
          </a:xfrm>
          <a:prstGeom prst="rect">
            <a:avLst/>
          </a:prstGeom>
          <a:noFill/>
          <a:ln w="28575" algn="ctr">
            <a:solidFill>
              <a:schemeClr val="tx1"/>
            </a:solidFill>
            <a:miter lim="800000"/>
            <a:headEnd/>
            <a:tailEnd/>
          </a:ln>
          <a:effectLst/>
        </xdr:spPr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0" hangingPunct="0">
              <a:lnSpc>
                <a:spcPct val="90000"/>
              </a:lnSpc>
              <a:spcBef>
                <a:spcPts val="750"/>
              </a:spcBef>
              <a:defRPr/>
            </a:pPr>
            <a:r>
              <a:rPr lang="en-US" sz="1245"/>
              <a:t>1,2,3,4...</a:t>
            </a:r>
          </a:p>
        </xdr:txBody>
      </xdr:sp>
    </xdr:grpSp>
    <xdr:clientData/>
  </xdr:twoCellAnchor>
  <xdr:twoCellAnchor>
    <xdr:from>
      <xdr:col>0</xdr:col>
      <xdr:colOff>533400</xdr:colOff>
      <xdr:row>84</xdr:row>
      <xdr:rowOff>371475</xdr:rowOff>
    </xdr:from>
    <xdr:to>
      <xdr:col>2</xdr:col>
      <xdr:colOff>352425</xdr:colOff>
      <xdr:row>88</xdr:row>
      <xdr:rowOff>28575</xdr:rowOff>
    </xdr:to>
    <xdr:grpSp>
      <xdr:nvGrpSpPr>
        <xdr:cNvPr id="467" name="Group 466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GrpSpPr/>
      </xdr:nvGrpSpPr>
      <xdr:grpSpPr>
        <a:xfrm>
          <a:off x="533400" y="46701075"/>
          <a:ext cx="2638425" cy="1485900"/>
          <a:chOff x="514350" y="36156900"/>
          <a:chExt cx="1743075" cy="1409700"/>
        </a:xfrm>
      </xdr:grpSpPr>
      <xdr:sp macro="" textlink="">
        <xdr:nvSpPr>
          <xdr:cNvPr id="461" name="Rectangle 460">
            <a:extLst>
              <a:ext uri="{FF2B5EF4-FFF2-40B4-BE49-F238E27FC236}">
                <a16:creationId xmlns:a16="http://schemas.microsoft.com/office/drawing/2014/main" id="{00000000-0008-0000-0000-0000CD010000}"/>
              </a:ext>
            </a:extLst>
          </xdr:cNvPr>
          <xdr:cNvSpPr/>
        </xdr:nvSpPr>
        <xdr:spPr>
          <a:xfrm>
            <a:off x="514350" y="361569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65" name="Flowchart: Connector 464">
            <a:extLst>
              <a:ext uri="{FF2B5EF4-FFF2-40B4-BE49-F238E27FC236}">
                <a16:creationId xmlns:a16="http://schemas.microsoft.com/office/drawing/2014/main" id="{00000000-0008-0000-0000-0000D1010000}"/>
              </a:ext>
            </a:extLst>
          </xdr:cNvPr>
          <xdr:cNvSpPr/>
        </xdr:nvSpPr>
        <xdr:spPr>
          <a:xfrm>
            <a:off x="962025" y="36499800"/>
            <a:ext cx="876300" cy="762000"/>
          </a:xfrm>
          <a:prstGeom prst="flowChartConnector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66" name="Flowchart: Connector 465">
            <a:extLst>
              <a:ext uri="{FF2B5EF4-FFF2-40B4-BE49-F238E27FC236}">
                <a16:creationId xmlns:a16="http://schemas.microsoft.com/office/drawing/2014/main" id="{00000000-0008-0000-0000-0000D2010000}"/>
              </a:ext>
            </a:extLst>
          </xdr:cNvPr>
          <xdr:cNvSpPr/>
        </xdr:nvSpPr>
        <xdr:spPr>
          <a:xfrm>
            <a:off x="1143000" y="36623625"/>
            <a:ext cx="504825" cy="485775"/>
          </a:xfrm>
          <a:prstGeom prst="flowChartConnector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</xdr:col>
      <xdr:colOff>542925</xdr:colOff>
      <xdr:row>84</xdr:row>
      <xdr:rowOff>400050</xdr:rowOff>
    </xdr:from>
    <xdr:to>
      <xdr:col>6</xdr:col>
      <xdr:colOff>342900</xdr:colOff>
      <xdr:row>88</xdr:row>
      <xdr:rowOff>57150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GrpSpPr/>
      </xdr:nvGrpSpPr>
      <xdr:grpSpPr>
        <a:xfrm>
          <a:off x="5191125" y="46729650"/>
          <a:ext cx="1857375" cy="1485900"/>
          <a:chOff x="4095750" y="35852100"/>
          <a:chExt cx="1743075" cy="1409700"/>
        </a:xfrm>
      </xdr:grpSpPr>
      <xdr:sp macro="" textlink="">
        <xdr:nvSpPr>
          <xdr:cNvPr id="365" name="Rectangle 364">
            <a:extLst>
              <a:ext uri="{FF2B5EF4-FFF2-40B4-BE49-F238E27FC236}">
                <a16:creationId xmlns:a16="http://schemas.microsoft.com/office/drawing/2014/main" id="{00000000-0008-0000-0000-00006D010000}"/>
              </a:ext>
            </a:extLst>
          </xdr:cNvPr>
          <xdr:cNvSpPr/>
        </xdr:nvSpPr>
        <xdr:spPr>
          <a:xfrm>
            <a:off x="4095750" y="3585210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482" name="Group 481">
            <a:extLst>
              <a:ext uri="{FF2B5EF4-FFF2-40B4-BE49-F238E27FC236}">
                <a16:creationId xmlns:a16="http://schemas.microsoft.com/office/drawing/2014/main" id="{00000000-0008-0000-0000-0000E2010000}"/>
              </a:ext>
            </a:extLst>
          </xdr:cNvPr>
          <xdr:cNvGrpSpPr/>
        </xdr:nvGrpSpPr>
        <xdr:grpSpPr>
          <a:xfrm>
            <a:off x="4867275" y="36252155"/>
            <a:ext cx="395646" cy="561995"/>
            <a:chOff x="4867275" y="36252155"/>
            <a:chExt cx="395646" cy="561995"/>
          </a:xfrm>
        </xdr:grpSpPr>
        <xdr:sp macro="" textlink="">
          <xdr:nvSpPr>
            <xdr:cNvPr id="475" name="Line 52">
              <a:extLst>
                <a:ext uri="{FF2B5EF4-FFF2-40B4-BE49-F238E27FC236}">
                  <a16:creationId xmlns:a16="http://schemas.microsoft.com/office/drawing/2014/main" id="{00000000-0008-0000-0000-0000D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059532" y="36569809"/>
              <a:ext cx="0" cy="244341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476" name="Line 53">
              <a:extLst>
                <a:ext uri="{FF2B5EF4-FFF2-40B4-BE49-F238E27FC236}">
                  <a16:creationId xmlns:a16="http://schemas.microsoft.com/office/drawing/2014/main" id="{00000000-0008-0000-0000-0000D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967962" y="36814150"/>
              <a:ext cx="185683" cy="0"/>
            </a:xfrm>
            <a:prstGeom prst="line">
              <a:avLst/>
            </a:prstGeom>
            <a:noFill/>
            <a:ln w="28575">
              <a:solidFill>
                <a:schemeClr val="tx1"/>
              </a:solidFill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  <a:defRPr/>
              </a:pPr>
              <a:endParaRPr lang="en-US" sz="1600"/>
            </a:p>
          </xdr:txBody>
        </xdr:sp>
        <xdr:sp macro="" textlink="">
          <xdr:nvSpPr>
            <xdr:cNvPr id="479" name="Rectangle 16">
              <a:extLst>
                <a:ext uri="{FF2B5EF4-FFF2-40B4-BE49-F238E27FC236}">
                  <a16:creationId xmlns:a16="http://schemas.microsoft.com/office/drawing/2014/main" id="{00000000-0008-0000-0000-0000DF010000}"/>
                </a:ext>
              </a:extLst>
            </xdr:cNvPr>
            <xdr:cNvSpPr/>
          </xdr:nvSpPr>
          <xdr:spPr>
            <a:xfrm>
              <a:off x="4867275" y="36252155"/>
              <a:ext cx="395646" cy="302521"/>
            </a:xfrm>
            <a:custGeom>
              <a:avLst/>
              <a:gdLst>
                <a:gd name="connsiteX0" fmla="*/ 0 w 219945"/>
                <a:gd name="connsiteY0" fmla="*/ 0 h 241977"/>
                <a:gd name="connsiteX1" fmla="*/ 219945 w 219945"/>
                <a:gd name="connsiteY1" fmla="*/ 0 h 241977"/>
                <a:gd name="connsiteX2" fmla="*/ 219945 w 219945"/>
                <a:gd name="connsiteY2" fmla="*/ 241977 h 241977"/>
                <a:gd name="connsiteX3" fmla="*/ 0 w 219945"/>
                <a:gd name="connsiteY3" fmla="*/ 241977 h 241977"/>
                <a:gd name="connsiteX4" fmla="*/ 0 w 219945"/>
                <a:gd name="connsiteY4" fmla="*/ 0 h 241977"/>
                <a:gd name="connsiteX0" fmla="*/ 0 w 219945"/>
                <a:gd name="connsiteY0" fmla="*/ 3277 h 245254"/>
                <a:gd name="connsiteX1" fmla="*/ 139355 w 219945"/>
                <a:gd name="connsiteY1" fmla="*/ 0 h 245254"/>
                <a:gd name="connsiteX2" fmla="*/ 219945 w 219945"/>
                <a:gd name="connsiteY2" fmla="*/ 3277 h 245254"/>
                <a:gd name="connsiteX3" fmla="*/ 219945 w 219945"/>
                <a:gd name="connsiteY3" fmla="*/ 245254 h 245254"/>
                <a:gd name="connsiteX4" fmla="*/ 0 w 219945"/>
                <a:gd name="connsiteY4" fmla="*/ 245254 h 245254"/>
                <a:gd name="connsiteX5" fmla="*/ 0 w 219945"/>
                <a:gd name="connsiteY5" fmla="*/ 3277 h 245254"/>
                <a:gd name="connsiteX0" fmla="*/ 139355 w 230795"/>
                <a:gd name="connsiteY0" fmla="*/ 0 h 245254"/>
                <a:gd name="connsiteX1" fmla="*/ 219945 w 230795"/>
                <a:gd name="connsiteY1" fmla="*/ 3277 h 245254"/>
                <a:gd name="connsiteX2" fmla="*/ 219945 w 230795"/>
                <a:gd name="connsiteY2" fmla="*/ 245254 h 245254"/>
                <a:gd name="connsiteX3" fmla="*/ 0 w 230795"/>
                <a:gd name="connsiteY3" fmla="*/ 245254 h 245254"/>
                <a:gd name="connsiteX4" fmla="*/ 0 w 230795"/>
                <a:gd name="connsiteY4" fmla="*/ 3277 h 245254"/>
                <a:gd name="connsiteX5" fmla="*/ 230795 w 230795"/>
                <a:gd name="connsiteY5" fmla="*/ 91440 h 245254"/>
                <a:gd name="connsiteX0" fmla="*/ 139355 w 219945"/>
                <a:gd name="connsiteY0" fmla="*/ 0 h 245254"/>
                <a:gd name="connsiteX1" fmla="*/ 219945 w 219945"/>
                <a:gd name="connsiteY1" fmla="*/ 3277 h 245254"/>
                <a:gd name="connsiteX2" fmla="*/ 219945 w 219945"/>
                <a:gd name="connsiteY2" fmla="*/ 245254 h 245254"/>
                <a:gd name="connsiteX3" fmla="*/ 0 w 219945"/>
                <a:gd name="connsiteY3" fmla="*/ 245254 h 245254"/>
                <a:gd name="connsiteX4" fmla="*/ 0 w 219945"/>
                <a:gd name="connsiteY4" fmla="*/ 3277 h 245254"/>
                <a:gd name="connsiteX0" fmla="*/ 219945 w 219945"/>
                <a:gd name="connsiteY0" fmla="*/ 0 h 241977"/>
                <a:gd name="connsiteX1" fmla="*/ 219945 w 219945"/>
                <a:gd name="connsiteY1" fmla="*/ 241977 h 241977"/>
                <a:gd name="connsiteX2" fmla="*/ 0 w 219945"/>
                <a:gd name="connsiteY2" fmla="*/ 241977 h 241977"/>
                <a:gd name="connsiteX3" fmla="*/ 0 w 219945"/>
                <a:gd name="connsiteY3" fmla="*/ 0 h 241977"/>
                <a:gd name="connsiteX0" fmla="*/ 268205 w 268205"/>
                <a:gd name="connsiteY0" fmla="*/ 2540 h 241977"/>
                <a:gd name="connsiteX1" fmla="*/ 219945 w 268205"/>
                <a:gd name="connsiteY1" fmla="*/ 241977 h 241977"/>
                <a:gd name="connsiteX2" fmla="*/ 0 w 268205"/>
                <a:gd name="connsiteY2" fmla="*/ 241977 h 241977"/>
                <a:gd name="connsiteX3" fmla="*/ 0 w 268205"/>
                <a:gd name="connsiteY3" fmla="*/ 0 h 241977"/>
                <a:gd name="connsiteX0" fmla="*/ 316465 w 316465"/>
                <a:gd name="connsiteY0" fmla="*/ 2540 h 241977"/>
                <a:gd name="connsiteX1" fmla="*/ 268205 w 316465"/>
                <a:gd name="connsiteY1" fmla="*/ 241977 h 241977"/>
                <a:gd name="connsiteX2" fmla="*/ 48260 w 316465"/>
                <a:gd name="connsiteY2" fmla="*/ 241977 h 241977"/>
                <a:gd name="connsiteX3" fmla="*/ 0 w 316465"/>
                <a:gd name="connsiteY3" fmla="*/ 0 h 241977"/>
                <a:gd name="connsiteX0" fmla="*/ 316465 w 316465"/>
                <a:gd name="connsiteY0" fmla="*/ 2540 h 241977"/>
                <a:gd name="connsiteX1" fmla="*/ 268205 w 316465"/>
                <a:gd name="connsiteY1" fmla="*/ 241977 h 241977"/>
                <a:gd name="connsiteX2" fmla="*/ 48260 w 316465"/>
                <a:gd name="connsiteY2" fmla="*/ 241977 h 241977"/>
                <a:gd name="connsiteX3" fmla="*/ 0 w 316465"/>
                <a:gd name="connsiteY3" fmla="*/ 0 h 241977"/>
                <a:gd name="connsiteX0" fmla="*/ 316465 w 316465"/>
                <a:gd name="connsiteY0" fmla="*/ 2540 h 241977"/>
                <a:gd name="connsiteX1" fmla="*/ 268205 w 316465"/>
                <a:gd name="connsiteY1" fmla="*/ 241977 h 241977"/>
                <a:gd name="connsiteX2" fmla="*/ 48260 w 316465"/>
                <a:gd name="connsiteY2" fmla="*/ 241977 h 241977"/>
                <a:gd name="connsiteX3" fmla="*/ 0 w 316465"/>
                <a:gd name="connsiteY3" fmla="*/ 0 h 24197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16465" h="241977">
                  <a:moveTo>
                    <a:pt x="316465" y="2540"/>
                  </a:moveTo>
                  <a:cubicBezTo>
                    <a:pt x="274978" y="224592"/>
                    <a:pt x="284292" y="162165"/>
                    <a:pt x="268205" y="241977"/>
                  </a:cubicBezTo>
                  <a:lnTo>
                    <a:pt x="48260" y="241977"/>
                  </a:lnTo>
                  <a:cubicBezTo>
                    <a:pt x="32173" y="161318"/>
                    <a:pt x="46567" y="222899"/>
                    <a:pt x="0" y="0"/>
                  </a:cubicBezTo>
                </a:path>
              </a:pathLst>
            </a:custGeom>
            <a:noFill/>
            <a:ln w="38100" cap="rnd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 sz="225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twoCellAnchor>
    <xdr:from>
      <xdr:col>0</xdr:col>
      <xdr:colOff>561975</xdr:colOff>
      <xdr:row>89</xdr:row>
      <xdr:rowOff>390525</xdr:rowOff>
    </xdr:from>
    <xdr:to>
      <xdr:col>2</xdr:col>
      <xdr:colOff>381000</xdr:colOff>
      <xdr:row>93</xdr:row>
      <xdr:rowOff>47625</xdr:rowOff>
    </xdr:to>
    <xdr:grpSp>
      <xdr:nvGrpSpPr>
        <xdr:cNvPr id="491" name="Group 490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GrpSpPr/>
      </xdr:nvGrpSpPr>
      <xdr:grpSpPr>
        <a:xfrm>
          <a:off x="561975" y="49006125"/>
          <a:ext cx="2638425" cy="1485900"/>
          <a:chOff x="8620125" y="34080450"/>
          <a:chExt cx="1743075" cy="1409700"/>
        </a:xfrm>
      </xdr:grpSpPr>
      <xdr:sp macro="" textlink="">
        <xdr:nvSpPr>
          <xdr:cNvPr id="486" name="Rectangle 485">
            <a:extLst>
              <a:ext uri="{FF2B5EF4-FFF2-40B4-BE49-F238E27FC236}">
                <a16:creationId xmlns:a16="http://schemas.microsoft.com/office/drawing/2014/main" id="{00000000-0008-0000-0000-0000E6010000}"/>
              </a:ext>
            </a:extLst>
          </xdr:cNvPr>
          <xdr:cNvSpPr/>
        </xdr:nvSpPr>
        <xdr:spPr>
          <a:xfrm>
            <a:off x="8620125" y="34080450"/>
            <a:ext cx="1743075" cy="14097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84" name="Picture 483">
            <a:extLst>
              <a:ext uri="{FF2B5EF4-FFF2-40B4-BE49-F238E27FC236}">
                <a16:creationId xmlns:a16="http://schemas.microsoft.com/office/drawing/2014/main" id="{00000000-0008-0000-0000-0000E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8886825" y="34528125"/>
            <a:ext cx="1218603" cy="61929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685800</xdr:colOff>
      <xdr:row>89</xdr:row>
      <xdr:rowOff>400050</xdr:rowOff>
    </xdr:from>
    <xdr:to>
      <xdr:col>6</xdr:col>
      <xdr:colOff>485775</xdr:colOff>
      <xdr:row>93</xdr:row>
      <xdr:rowOff>57150</xdr:rowOff>
    </xdr:to>
    <xdr:grpSp>
      <xdr:nvGrpSpPr>
        <xdr:cNvPr id="503" name="Group 502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GrpSpPr/>
      </xdr:nvGrpSpPr>
      <xdr:grpSpPr>
        <a:xfrm>
          <a:off x="5334000" y="49015650"/>
          <a:ext cx="1857375" cy="1485900"/>
          <a:chOff x="4276725" y="38252400"/>
          <a:chExt cx="1743075" cy="1409700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000-0000F0010000}"/>
              </a:ext>
            </a:extLst>
          </xdr:cNvPr>
          <xdr:cNvSpPr/>
        </xdr:nvSpPr>
        <xdr:spPr>
          <a:xfrm>
            <a:off x="4276725" y="3825240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00" name="Explosion: 8 Points 499">
            <a:extLst>
              <a:ext uri="{FF2B5EF4-FFF2-40B4-BE49-F238E27FC236}">
                <a16:creationId xmlns:a16="http://schemas.microsoft.com/office/drawing/2014/main" id="{00000000-0008-0000-0000-0000F4010000}"/>
              </a:ext>
            </a:extLst>
          </xdr:cNvPr>
          <xdr:cNvSpPr/>
        </xdr:nvSpPr>
        <xdr:spPr>
          <a:xfrm>
            <a:off x="4629150" y="38509575"/>
            <a:ext cx="1076325" cy="971550"/>
          </a:xfrm>
          <a:prstGeom prst="irregularSeal1">
            <a:avLst/>
          </a:prstGeom>
          <a:noFill/>
          <a:ln w="28575"/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561975</xdr:colOff>
      <xdr:row>94</xdr:row>
      <xdr:rowOff>428625</xdr:rowOff>
    </xdr:from>
    <xdr:to>
      <xdr:col>2</xdr:col>
      <xdr:colOff>381000</xdr:colOff>
      <xdr:row>98</xdr:row>
      <xdr:rowOff>85725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GrpSpPr/>
      </xdr:nvGrpSpPr>
      <xdr:grpSpPr>
        <a:xfrm>
          <a:off x="561975" y="51863625"/>
          <a:ext cx="2638425" cy="2019300"/>
          <a:chOff x="571500" y="40290750"/>
          <a:chExt cx="1743075" cy="1409700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000-0000F9010000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508" name="Straight Connector 507">
            <a:extLst>
              <a:ext uri="{FF2B5EF4-FFF2-40B4-BE49-F238E27FC236}">
                <a16:creationId xmlns:a16="http://schemas.microsoft.com/office/drawing/2014/main" id="{00000000-0008-0000-0000-0000FC010000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09" name="Isosceles Triangle 508">
            <a:extLst>
              <a:ext uri="{FF2B5EF4-FFF2-40B4-BE49-F238E27FC236}">
                <a16:creationId xmlns:a16="http://schemas.microsoft.com/office/drawing/2014/main" id="{00000000-0008-0000-0000-0000FD010000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10" name="Rectangle 509">
            <a:extLst>
              <a:ext uri="{FF2B5EF4-FFF2-40B4-BE49-F238E27FC236}">
                <a16:creationId xmlns:a16="http://schemas.microsoft.com/office/drawing/2014/main" id="{00000000-0008-0000-0000-0000FE010000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3</xdr:col>
      <xdr:colOff>626452</xdr:colOff>
      <xdr:row>94</xdr:row>
      <xdr:rowOff>576141</xdr:rowOff>
    </xdr:from>
    <xdr:to>
      <xdr:col>6</xdr:col>
      <xdr:colOff>328246</xdr:colOff>
      <xdr:row>97</xdr:row>
      <xdr:rowOff>120894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4C030C62-ECBB-4D41-BCD1-8C0ACCAF2A23}"/>
            </a:ext>
          </a:extLst>
        </xdr:cNvPr>
        <xdr:cNvGrpSpPr/>
      </xdr:nvGrpSpPr>
      <xdr:grpSpPr>
        <a:xfrm>
          <a:off x="4360252" y="52011141"/>
          <a:ext cx="2673594" cy="1449753"/>
          <a:chOff x="571500" y="40290750"/>
          <a:chExt cx="1743075" cy="1409700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CE927E98-F454-D2AA-92FC-E59DC71C16E2}"/>
              </a:ext>
            </a:extLst>
          </xdr:cNvPr>
          <xdr:cNvSpPr/>
        </xdr:nvSpPr>
        <xdr:spPr>
          <a:xfrm>
            <a:off x="571500" y="40290750"/>
            <a:ext cx="1743075" cy="14097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brightnessContrast bright="20000" contrast="20000"/>
                      </a14:imgEffect>
                    </a14:imgLayer>
                  </a14:imgProps>
                </a:ext>
              </a:extLst>
            </a:blip>
            <a:tile tx="0" ty="0" sx="100000" sy="100000" flip="none" algn="tl"/>
          </a:blip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93" name="Straight Connector 92">
            <a:extLst>
              <a:ext uri="{FF2B5EF4-FFF2-40B4-BE49-F238E27FC236}">
                <a16:creationId xmlns:a16="http://schemas.microsoft.com/office/drawing/2014/main" id="{E27F4DD1-9AD5-5670-298F-8C359D02F583}"/>
              </a:ext>
            </a:extLst>
          </xdr:cNvPr>
          <xdr:cNvCxnSpPr/>
        </xdr:nvCxnSpPr>
        <xdr:spPr>
          <a:xfrm>
            <a:off x="866775" y="41443275"/>
            <a:ext cx="1152525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4" name="Isosceles Triangle 103">
            <a:extLst>
              <a:ext uri="{FF2B5EF4-FFF2-40B4-BE49-F238E27FC236}">
                <a16:creationId xmlns:a16="http://schemas.microsoft.com/office/drawing/2014/main" id="{CEB19E04-2521-ADB5-6BBA-7AD4B9AF6D28}"/>
              </a:ext>
            </a:extLst>
          </xdr:cNvPr>
          <xdr:cNvSpPr/>
        </xdr:nvSpPr>
        <xdr:spPr>
          <a:xfrm>
            <a:off x="847725" y="40452675"/>
            <a:ext cx="1133475" cy="762000"/>
          </a:xfrm>
          <a:prstGeom prst="triangle">
            <a:avLst/>
          </a:prstGeom>
          <a:noFill/>
          <a:ln w="28575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54267FC-2A2D-511F-8707-B7329793C7C1}"/>
              </a:ext>
            </a:extLst>
          </xdr:cNvPr>
          <xdr:cNvSpPr/>
        </xdr:nvSpPr>
        <xdr:spPr>
          <a:xfrm>
            <a:off x="1143000" y="40728900"/>
            <a:ext cx="571500" cy="390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 i="0">
                <a:solidFill>
                  <a:schemeClr val="tx1"/>
                </a:solidFill>
              </a:rPr>
              <a:t>I</a:t>
            </a:r>
          </a:p>
        </xdr:txBody>
      </xdr:sp>
    </xdr:grpSp>
    <xdr:clientData/>
  </xdr:twoCellAnchor>
  <xdr:twoCellAnchor>
    <xdr:from>
      <xdr:col>13</xdr:col>
      <xdr:colOff>0</xdr:colOff>
      <xdr:row>28</xdr:row>
      <xdr:rowOff>152400</xdr:rowOff>
    </xdr:from>
    <xdr:to>
      <xdr:col>15</xdr:col>
      <xdr:colOff>127000</xdr:colOff>
      <xdr:row>37</xdr:row>
      <xdr:rowOff>190501</xdr:rowOff>
    </xdr:to>
    <xdr:grpSp>
      <xdr:nvGrpSpPr>
        <xdr:cNvPr id="325" name="Group 59">
          <a:extLst>
            <a:ext uri="{FF2B5EF4-FFF2-40B4-BE49-F238E27FC236}">
              <a16:creationId xmlns:a16="http://schemas.microsoft.com/office/drawing/2014/main" id="{A3CAF3DC-4F6F-4E9C-9241-FABDF2372097}"/>
            </a:ext>
          </a:extLst>
        </xdr:cNvPr>
        <xdr:cNvGrpSpPr/>
      </xdr:nvGrpSpPr>
      <xdr:grpSpPr>
        <a:xfrm>
          <a:off x="13411200" y="11430000"/>
          <a:ext cx="15138400" cy="4152901"/>
          <a:chOff x="600075" y="7658100"/>
          <a:chExt cx="1714500" cy="1409700"/>
        </a:xfrm>
        <a:solidFill>
          <a:srgbClr val="00B0F0"/>
        </a:solidFill>
      </xdr:grpSpPr>
      <xdr:grpSp>
        <xdr:nvGrpSpPr>
          <xdr:cNvPr id="326" name="Group 58">
            <a:extLst>
              <a:ext uri="{FF2B5EF4-FFF2-40B4-BE49-F238E27FC236}">
                <a16:creationId xmlns:a16="http://schemas.microsoft.com/office/drawing/2014/main" id="{6953E508-382C-05C2-BEE4-EE3ABD62A5E8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  <a:grpFill/>
        </xdr:grpSpPr>
        <xdr:sp macro="" textlink="">
          <xdr:nvSpPr>
            <xdr:cNvPr id="328" name="Rectangle 327">
              <a:extLst>
                <a:ext uri="{FF2B5EF4-FFF2-40B4-BE49-F238E27FC236}">
                  <a16:creationId xmlns:a16="http://schemas.microsoft.com/office/drawing/2014/main" id="{02409053-D14C-01F4-BD76-B9CC4A406A6E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329" name="Rectangle 328">
              <a:extLst>
                <a:ext uri="{FF2B5EF4-FFF2-40B4-BE49-F238E27FC236}">
                  <a16:creationId xmlns:a16="http://schemas.microsoft.com/office/drawing/2014/main" id="{00FED52F-44BF-C235-0D20-2949B27F5E9E}"/>
                </a:ext>
              </a:extLst>
            </xdr:cNvPr>
            <xdr:cNvSpPr/>
          </xdr:nvSpPr>
          <xdr:spPr>
            <a:xfrm>
              <a:off x="590550" y="7658098"/>
              <a:ext cx="1714500" cy="739530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54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KAPPA</a:t>
              </a:r>
              <a:r>
                <a:rPr lang="fr-FR" sz="1600"/>
                <a:t> </a:t>
              </a:r>
            </a:p>
          </xdr:txBody>
        </xdr:sp>
        <xdr:sp macro="" textlink="">
          <xdr:nvSpPr>
            <xdr:cNvPr id="330" name="Oval 55">
              <a:extLst>
                <a:ext uri="{FF2B5EF4-FFF2-40B4-BE49-F238E27FC236}">
                  <a16:creationId xmlns:a16="http://schemas.microsoft.com/office/drawing/2014/main" id="{B27A708D-CFA0-EF51-E5FD-459E85C0A2DB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327" name="Freeform: Shape 57">
            <a:extLst>
              <a:ext uri="{FF2B5EF4-FFF2-40B4-BE49-F238E27FC236}">
                <a16:creationId xmlns:a16="http://schemas.microsoft.com/office/drawing/2014/main" id="{E6905CEA-7473-C8F7-4C66-55B0DAFD39D8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grp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8</xdr:col>
      <xdr:colOff>605855</xdr:colOff>
      <xdr:row>10</xdr:row>
      <xdr:rowOff>274320</xdr:rowOff>
    </xdr:from>
    <xdr:to>
      <xdr:col>13</xdr:col>
      <xdr:colOff>1605330</xdr:colOff>
      <xdr:row>15</xdr:row>
      <xdr:rowOff>427098</xdr:rowOff>
    </xdr:to>
    <xdr:grpSp>
      <xdr:nvGrpSpPr>
        <xdr:cNvPr id="709" name="Group 23">
          <a:extLst>
            <a:ext uri="{FF2B5EF4-FFF2-40B4-BE49-F238E27FC236}">
              <a16:creationId xmlns:a16="http://schemas.microsoft.com/office/drawing/2014/main" id="{3E47E1EC-6048-4928-9264-C33ECD1F9703}"/>
            </a:ext>
          </a:extLst>
        </xdr:cNvPr>
        <xdr:cNvGrpSpPr/>
      </xdr:nvGrpSpPr>
      <xdr:grpSpPr>
        <a:xfrm>
          <a:off x="8378255" y="3322320"/>
          <a:ext cx="6638275" cy="2438778"/>
          <a:chOff x="1863655" y="3857625"/>
          <a:chExt cx="1070045" cy="742950"/>
        </a:xfrm>
        <a:solidFill>
          <a:schemeClr val="accent1">
            <a:lumMod val="40000"/>
            <a:lumOff val="60000"/>
          </a:schemeClr>
        </a:solidFill>
      </xdr:grpSpPr>
      <xdr:sp macro="" textlink="">
        <xdr:nvSpPr>
          <xdr:cNvPr id="710" name="Freeform: Shape 18">
            <a:extLst>
              <a:ext uri="{FF2B5EF4-FFF2-40B4-BE49-F238E27FC236}">
                <a16:creationId xmlns:a16="http://schemas.microsoft.com/office/drawing/2014/main" id="{4890758B-4E45-7688-231B-DF2B3C852FA0}"/>
              </a:ext>
            </a:extLst>
          </xdr:cNvPr>
          <xdr:cNvSpPr/>
        </xdr:nvSpPr>
        <xdr:spPr>
          <a:xfrm>
            <a:off x="1863655" y="3857625"/>
            <a:ext cx="1070045" cy="742950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 b="1">
              <a:solidFill>
                <a:schemeClr val="tx1"/>
              </a:solidFill>
              <a:effectLst/>
            </a:endParaRPr>
          </a:p>
        </xdr:txBody>
      </xdr:sp>
      <xdr:sp macro="" textlink="">
        <xdr:nvSpPr>
          <xdr:cNvPr id="711" name="Rectangle 710">
            <a:extLst>
              <a:ext uri="{FF2B5EF4-FFF2-40B4-BE49-F238E27FC236}">
                <a16:creationId xmlns:a16="http://schemas.microsoft.com/office/drawing/2014/main" id="{2952F1AC-EEA8-D389-5855-890A29B52649}"/>
              </a:ext>
            </a:extLst>
          </xdr:cNvPr>
          <xdr:cNvSpPr/>
        </xdr:nvSpPr>
        <xdr:spPr>
          <a:xfrm>
            <a:off x="2038350" y="4267201"/>
            <a:ext cx="695325" cy="27622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4400" b="1">
                <a:latin typeface="Times New Roman" panose="02020603050405020304" pitchFamily="18" charset="0"/>
                <a:cs typeface="Times New Roman" panose="02020603050405020304" pitchFamily="18" charset="0"/>
              </a:rPr>
              <a:t>FOURNISSEURS</a:t>
            </a:r>
          </a:p>
        </xdr:txBody>
      </xdr:sp>
    </xdr:grpSp>
    <xdr:clientData/>
  </xdr:twoCellAnchor>
  <xdr:twoCellAnchor>
    <xdr:from>
      <xdr:col>9</xdr:col>
      <xdr:colOff>791515</xdr:colOff>
      <xdr:row>20</xdr:row>
      <xdr:rowOff>2941</xdr:rowOff>
    </xdr:from>
    <xdr:to>
      <xdr:col>12</xdr:col>
      <xdr:colOff>1000698</xdr:colOff>
      <xdr:row>23</xdr:row>
      <xdr:rowOff>283416</xdr:rowOff>
    </xdr:to>
    <xdr:grpSp>
      <xdr:nvGrpSpPr>
        <xdr:cNvPr id="360" name="Group 352">
          <a:extLst>
            <a:ext uri="{FF2B5EF4-FFF2-40B4-BE49-F238E27FC236}">
              <a16:creationId xmlns:a16="http://schemas.microsoft.com/office/drawing/2014/main" id="{F0752749-AB82-4DC0-AFE1-AD851AF3D20C}"/>
            </a:ext>
          </a:extLst>
        </xdr:cNvPr>
        <xdr:cNvGrpSpPr/>
      </xdr:nvGrpSpPr>
      <xdr:grpSpPr>
        <a:xfrm>
          <a:off x="9478315" y="7622941"/>
          <a:ext cx="2952383" cy="1652075"/>
          <a:chOff x="4076700" y="20631150"/>
          <a:chExt cx="1743075" cy="1409700"/>
        </a:xfrm>
        <a:solidFill>
          <a:schemeClr val="accent3"/>
        </a:solidFill>
      </xdr:grpSpPr>
      <xdr:sp macro="" textlink="">
        <xdr:nvSpPr>
          <xdr:cNvPr id="362" name="Rectangle 361">
            <a:extLst>
              <a:ext uri="{FF2B5EF4-FFF2-40B4-BE49-F238E27FC236}">
                <a16:creationId xmlns:a16="http://schemas.microsoft.com/office/drawing/2014/main" id="{44E12205-57B4-44BB-7F33-92306F475A1B}"/>
              </a:ext>
            </a:extLst>
          </xdr:cNvPr>
          <xdr:cNvSpPr/>
        </xdr:nvSpPr>
        <xdr:spPr>
          <a:xfrm>
            <a:off x="4076700" y="20631150"/>
            <a:ext cx="1743075" cy="1409700"/>
          </a:xfrm>
          <a:prstGeom prst="rect">
            <a:avLst/>
          </a:prstGeom>
          <a:grp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70" name="Picture 318">
            <a:extLst>
              <a:ext uri="{FF2B5EF4-FFF2-40B4-BE49-F238E27FC236}">
                <a16:creationId xmlns:a16="http://schemas.microsoft.com/office/drawing/2014/main" id="{E0D73A8A-349B-A866-55F0-F16314B241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4257676" y="21108898"/>
            <a:ext cx="1000124" cy="789377"/>
          </a:xfrm>
          <a:prstGeom prst="rect">
            <a:avLst/>
          </a:prstGeom>
          <a:grpFill/>
          <a:ln>
            <a:noFill/>
          </a:ln>
        </xdr:spPr>
      </xdr:pic>
      <xdr:grpSp>
        <xdr:nvGrpSpPr>
          <xdr:cNvPr id="405" name="Group 340">
            <a:extLst>
              <a:ext uri="{FF2B5EF4-FFF2-40B4-BE49-F238E27FC236}">
                <a16:creationId xmlns:a16="http://schemas.microsoft.com/office/drawing/2014/main" id="{5CA77773-5C31-ED4B-15C8-23EE0F4F5CFB}"/>
              </a:ext>
            </a:extLst>
          </xdr:cNvPr>
          <xdr:cNvGrpSpPr/>
        </xdr:nvGrpSpPr>
        <xdr:grpSpPr>
          <a:xfrm>
            <a:off x="5324475" y="20726400"/>
            <a:ext cx="342900" cy="274451"/>
            <a:chOff x="5622718" y="2886022"/>
            <a:chExt cx="577311" cy="554751"/>
          </a:xfrm>
          <a:grpFill/>
        </xdr:grpSpPr>
        <xdr:sp macro="" textlink="">
          <xdr:nvSpPr>
            <xdr:cNvPr id="406" name="Rectangle 80">
              <a:extLst>
                <a:ext uri="{FF2B5EF4-FFF2-40B4-BE49-F238E27FC236}">
                  <a16:creationId xmlns:a16="http://schemas.microsoft.com/office/drawing/2014/main" id="{135416A8-A4F3-484A-8C47-4017A5591FF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22718" y="2886022"/>
              <a:ext cx="577311" cy="554751"/>
            </a:xfrm>
            <a:prstGeom prst="roundRect">
              <a:avLst/>
            </a:prstGeom>
            <a:grpFill/>
            <a:ln w="28575" algn="ctr">
              <a:solidFill>
                <a:schemeClr val="tx1"/>
              </a:solidFill>
              <a:miter lim="800000"/>
              <a:headEnd/>
              <a:tailEnd/>
            </a:ln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Bef>
                  <a:spcPct val="0"/>
                </a:spcBef>
              </a:pPr>
              <a:endParaRPr lang="en-US" altLang="en-US" sz="1245">
                <a:latin typeface="Arial" panose="020B0604020202020204" pitchFamily="34" charset="0"/>
              </a:endParaRPr>
            </a:p>
          </xdr:txBody>
        </xdr:sp>
        <xdr:grpSp>
          <xdr:nvGrpSpPr>
            <xdr:cNvPr id="407" name="Graphic 13">
              <a:extLst>
                <a:ext uri="{FF2B5EF4-FFF2-40B4-BE49-F238E27FC236}">
                  <a16:creationId xmlns:a16="http://schemas.microsoft.com/office/drawing/2014/main" id="{9916963E-04A1-C80D-7D1E-9C20AE3E6E60}"/>
                </a:ext>
              </a:extLst>
            </xdr:cNvPr>
            <xdr:cNvGrpSpPr/>
          </xdr:nvGrpSpPr>
          <xdr:grpSpPr>
            <a:xfrm>
              <a:off x="5714234" y="2962446"/>
              <a:ext cx="394287" cy="394287"/>
              <a:chOff x="5774080" y="2944851"/>
              <a:chExt cx="312942" cy="312942"/>
            </a:xfrm>
            <a:grpFill/>
          </xdr:grpSpPr>
          <xdr:sp macro="" textlink="">
            <xdr:nvSpPr>
              <xdr:cNvPr id="502" name="Freeform: Shape 343">
                <a:extLst>
                  <a:ext uri="{FF2B5EF4-FFF2-40B4-BE49-F238E27FC236}">
                    <a16:creationId xmlns:a16="http://schemas.microsoft.com/office/drawing/2014/main" id="{6C8F69AC-2C2E-3DBD-A9CA-5EEB8DD661D9}"/>
                  </a:ext>
                </a:extLst>
              </xdr:cNvPr>
              <xdr:cNvSpPr/>
            </xdr:nvSpPr>
            <xdr:spPr>
              <a:xfrm>
                <a:off x="5778762" y="2949533"/>
                <a:ext cx="308260" cy="308260"/>
              </a:xfrm>
              <a:custGeom>
                <a:avLst/>
                <a:gdLst>
                  <a:gd name="connsiteX0" fmla="*/ 308260 w 308260"/>
                  <a:gd name="connsiteY0" fmla="*/ 154130 h 308260"/>
                  <a:gd name="connsiteX1" fmla="*/ 154130 w 308260"/>
                  <a:gd name="connsiteY1" fmla="*/ 308260 h 308260"/>
                  <a:gd name="connsiteX2" fmla="*/ 0 w 308260"/>
                  <a:gd name="connsiteY2" fmla="*/ 154130 h 308260"/>
                  <a:gd name="connsiteX3" fmla="*/ 154130 w 308260"/>
                  <a:gd name="connsiteY3" fmla="*/ 0 h 308260"/>
                  <a:gd name="connsiteX4" fmla="*/ 308260 w 308260"/>
                  <a:gd name="connsiteY4" fmla="*/ 154130 h 30826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308260" h="308260">
                    <a:moveTo>
                      <a:pt x="308260" y="154130"/>
                    </a:moveTo>
                    <a:cubicBezTo>
                      <a:pt x="308260" y="239254"/>
                      <a:pt x="239254" y="308260"/>
                      <a:pt x="154130" y="308260"/>
                    </a:cubicBezTo>
                    <a:cubicBezTo>
                      <a:pt x="69006" y="308260"/>
                      <a:pt x="0" y="239254"/>
                      <a:pt x="0" y="154130"/>
                    </a:cubicBezTo>
                    <a:cubicBezTo>
                      <a:pt x="0" y="69006"/>
                      <a:pt x="69006" y="0"/>
                      <a:pt x="154130" y="0"/>
                    </a:cubicBezTo>
                    <a:cubicBezTo>
                      <a:pt x="239254" y="0"/>
                      <a:pt x="308260" y="69006"/>
                      <a:pt x="308260" y="154130"/>
                    </a:cubicBezTo>
                    <a:close/>
                  </a:path>
                </a:pathLst>
              </a:custGeom>
              <a:grpFill/>
              <a:ln w="25400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grpSp>
            <xdr:nvGrpSpPr>
              <xdr:cNvPr id="708" name="Graphic 13">
                <a:extLst>
                  <a:ext uri="{FF2B5EF4-FFF2-40B4-BE49-F238E27FC236}">
                    <a16:creationId xmlns:a16="http://schemas.microsoft.com/office/drawing/2014/main" id="{7E4ECEE6-523B-EDE6-FD4C-E0ACE6E535E4}"/>
                  </a:ext>
                </a:extLst>
              </xdr:cNvPr>
              <xdr:cNvGrpSpPr/>
            </xdr:nvGrpSpPr>
            <xdr:grpSpPr>
              <a:xfrm>
                <a:off x="5932893" y="2969607"/>
                <a:ext cx="3121" cy="268112"/>
                <a:chOff x="5932893" y="2969607"/>
                <a:chExt cx="3121" cy="268112"/>
              </a:xfrm>
              <a:grpFill/>
            </xdr:grpSpPr>
            <xdr:sp macro="" textlink="">
              <xdr:nvSpPr>
                <xdr:cNvPr id="717" name="Freeform: Shape 350">
                  <a:extLst>
                    <a:ext uri="{FF2B5EF4-FFF2-40B4-BE49-F238E27FC236}">
                      <a16:creationId xmlns:a16="http://schemas.microsoft.com/office/drawing/2014/main" id="{3169F074-BA11-FCED-ABCE-DDFDF04FA170}"/>
                    </a:ext>
                  </a:extLst>
                </xdr:cNvPr>
                <xdr:cNvSpPr/>
              </xdr:nvSpPr>
              <xdr:spPr>
                <a:xfrm>
                  <a:off x="5932893" y="2969607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718" name="Freeform: Shape 351">
                  <a:extLst>
                    <a:ext uri="{FF2B5EF4-FFF2-40B4-BE49-F238E27FC236}">
                      <a16:creationId xmlns:a16="http://schemas.microsoft.com/office/drawing/2014/main" id="{B8B304C5-F917-6701-44C5-49608126D4E6}"/>
                    </a:ext>
                  </a:extLst>
                </xdr:cNvPr>
                <xdr:cNvSpPr/>
              </xdr:nvSpPr>
              <xdr:spPr>
                <a:xfrm>
                  <a:off x="5932893" y="3210434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grpSp>
            <xdr:nvGrpSpPr>
              <xdr:cNvPr id="712" name="Graphic 13">
                <a:extLst>
                  <a:ext uri="{FF2B5EF4-FFF2-40B4-BE49-F238E27FC236}">
                    <a16:creationId xmlns:a16="http://schemas.microsoft.com/office/drawing/2014/main" id="{B80E41E5-4D4B-C797-0E85-E9E036B3941E}"/>
                  </a:ext>
                </a:extLst>
              </xdr:cNvPr>
              <xdr:cNvGrpSpPr/>
            </xdr:nvGrpSpPr>
            <xdr:grpSpPr>
              <a:xfrm>
                <a:off x="5798836" y="3103664"/>
                <a:ext cx="268112" cy="3121"/>
                <a:chOff x="5798836" y="3103664"/>
                <a:chExt cx="268112" cy="3121"/>
              </a:xfrm>
              <a:grpFill/>
            </xdr:grpSpPr>
            <xdr:sp macro="" textlink="">
              <xdr:nvSpPr>
                <xdr:cNvPr id="715" name="Freeform: Shape 348">
                  <a:extLst>
                    <a:ext uri="{FF2B5EF4-FFF2-40B4-BE49-F238E27FC236}">
                      <a16:creationId xmlns:a16="http://schemas.microsoft.com/office/drawing/2014/main" id="{6612B89C-1680-A3BB-6C21-D812F28DC294}"/>
                    </a:ext>
                  </a:extLst>
                </xdr:cNvPr>
                <xdr:cNvSpPr/>
              </xdr:nvSpPr>
              <xdr:spPr>
                <a:xfrm>
                  <a:off x="5798836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716" name="Freeform: Shape 349">
                  <a:extLst>
                    <a:ext uri="{FF2B5EF4-FFF2-40B4-BE49-F238E27FC236}">
                      <a16:creationId xmlns:a16="http://schemas.microsoft.com/office/drawing/2014/main" id="{1C82F588-4F0C-E63C-DEDF-4562F7479CD5}"/>
                    </a:ext>
                  </a:extLst>
                </xdr:cNvPr>
                <xdr:cNvSpPr/>
              </xdr:nvSpPr>
              <xdr:spPr>
                <a:xfrm>
                  <a:off x="6039663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sp macro="" textlink="">
            <xdr:nvSpPr>
              <xdr:cNvPr id="713" name="Freeform: Shape 346">
                <a:extLst>
                  <a:ext uri="{FF2B5EF4-FFF2-40B4-BE49-F238E27FC236}">
                    <a16:creationId xmlns:a16="http://schemas.microsoft.com/office/drawing/2014/main" id="{07011C0A-D1C7-7EF7-54DF-19887B9655B5}"/>
                  </a:ext>
                </a:extLst>
              </xdr:cNvPr>
              <xdr:cNvSpPr/>
            </xdr:nvSpPr>
            <xdr:spPr>
              <a:xfrm>
                <a:off x="5932893" y="3027957"/>
                <a:ext cx="63625" cy="82544"/>
              </a:xfrm>
              <a:custGeom>
                <a:avLst/>
                <a:gdLst>
                  <a:gd name="connsiteX0" fmla="*/ 0 w 63625"/>
                  <a:gd name="connsiteY0" fmla="*/ 0 h 82544"/>
                  <a:gd name="connsiteX1" fmla="*/ 0 w 63625"/>
                  <a:gd name="connsiteY1" fmla="*/ 82544 h 82544"/>
                  <a:gd name="connsiteX2" fmla="*/ 63625 w 63625"/>
                  <a:gd name="connsiteY2" fmla="*/ 58318 h 8254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63625" h="82544">
                    <a:moveTo>
                      <a:pt x="0" y="0"/>
                    </a:moveTo>
                    <a:lnTo>
                      <a:pt x="0" y="82544"/>
                    </a:lnTo>
                    <a:lnTo>
                      <a:pt x="63625" y="58318"/>
                    </a:lnTo>
                  </a:path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sp macro="" textlink="">
            <xdr:nvSpPr>
              <xdr:cNvPr id="714" name="Freeform: Shape 347">
                <a:extLst>
                  <a:ext uri="{FF2B5EF4-FFF2-40B4-BE49-F238E27FC236}">
                    <a16:creationId xmlns:a16="http://schemas.microsoft.com/office/drawing/2014/main" id="{1509B98D-0578-EF71-BAFE-03366DA18D02}"/>
                  </a:ext>
                </a:extLst>
              </xdr:cNvPr>
              <xdr:cNvSpPr/>
            </xdr:nvSpPr>
            <xdr:spPr>
              <a:xfrm>
                <a:off x="5774080" y="2944851"/>
                <a:ext cx="3121" cy="3121"/>
              </a:xfrm>
              <a:custGeom>
                <a:avLst/>
                <a:gdLst/>
                <a:ahLst/>
                <a:cxnLst/>
                <a:rect l="l" t="t" r="r" b="b"/>
                <a:pathLst>
                  <a:path w="3121" h="3121"/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</xdr:grpSp>
      </xdr:grpSp>
    </xdr:grpSp>
    <xdr:clientData/>
  </xdr:twoCellAnchor>
  <xdr:twoCellAnchor>
    <xdr:from>
      <xdr:col>11</xdr:col>
      <xdr:colOff>412559</xdr:colOff>
      <xdr:row>23</xdr:row>
      <xdr:rowOff>283416</xdr:rowOff>
    </xdr:from>
    <xdr:to>
      <xdr:col>11</xdr:col>
      <xdr:colOff>462555</xdr:colOff>
      <xdr:row>31</xdr:row>
      <xdr:rowOff>423140</xdr:rowOff>
    </xdr:to>
    <xdr:cxnSp macro="">
      <xdr:nvCxnSpPr>
        <xdr:cNvPr id="719" name="Straight Arrow Connector 527">
          <a:extLst>
            <a:ext uri="{FF2B5EF4-FFF2-40B4-BE49-F238E27FC236}">
              <a16:creationId xmlns:a16="http://schemas.microsoft.com/office/drawing/2014/main" id="{0E613043-1D75-4E47-A353-78B25374A16A}"/>
            </a:ext>
          </a:extLst>
        </xdr:cNvPr>
        <xdr:cNvCxnSpPr>
          <a:stCxn id="362" idx="2"/>
          <a:endCxn id="735" idx="0"/>
        </xdr:cNvCxnSpPr>
      </xdr:nvCxnSpPr>
      <xdr:spPr>
        <a:xfrm flipH="1">
          <a:off x="10528766" y="9112106"/>
          <a:ext cx="49996" cy="3713241"/>
        </a:xfrm>
        <a:prstGeom prst="straightConnector1">
          <a:avLst/>
        </a:prstGeom>
        <a:ln w="5715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2385060</xdr:colOff>
          <xdr:row>19</xdr:row>
          <xdr:rowOff>441960</xdr:rowOff>
        </xdr:from>
        <xdr:to>
          <xdr:col>20</xdr:col>
          <xdr:colOff>914400</xdr:colOff>
          <xdr:row>24</xdr:row>
          <xdr:rowOff>358140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1648394</xdr:colOff>
      <xdr:row>27</xdr:row>
      <xdr:rowOff>304800</xdr:rowOff>
    </xdr:from>
    <xdr:to>
      <xdr:col>25</xdr:col>
      <xdr:colOff>-1</xdr:colOff>
      <xdr:row>37</xdr:row>
      <xdr:rowOff>239950</xdr:rowOff>
    </xdr:to>
    <xdr:grpSp>
      <xdr:nvGrpSpPr>
        <xdr:cNvPr id="237" name="Group 59">
          <a:extLst>
            <a:ext uri="{FF2B5EF4-FFF2-40B4-BE49-F238E27FC236}">
              <a16:creationId xmlns:a16="http://schemas.microsoft.com/office/drawing/2014/main" id="{C0D2664A-88E1-460E-9237-C0E28F188FCF}"/>
            </a:ext>
          </a:extLst>
        </xdr:cNvPr>
        <xdr:cNvGrpSpPr/>
      </xdr:nvGrpSpPr>
      <xdr:grpSpPr>
        <a:xfrm>
          <a:off x="58036394" y="11125200"/>
          <a:ext cx="16944405" cy="4507150"/>
          <a:chOff x="596274" y="7652253"/>
          <a:chExt cx="1718301" cy="1415547"/>
        </a:xfrm>
        <a:solidFill>
          <a:srgbClr val="00B0F0"/>
        </a:solidFill>
      </xdr:grpSpPr>
      <xdr:grpSp>
        <xdr:nvGrpSpPr>
          <xdr:cNvPr id="238" name="Group 58">
            <a:extLst>
              <a:ext uri="{FF2B5EF4-FFF2-40B4-BE49-F238E27FC236}">
                <a16:creationId xmlns:a16="http://schemas.microsoft.com/office/drawing/2014/main" id="{568DBF3B-DB80-7398-FF30-2E7B78D9975D}"/>
              </a:ext>
            </a:extLst>
          </xdr:cNvPr>
          <xdr:cNvGrpSpPr/>
        </xdr:nvGrpSpPr>
        <xdr:grpSpPr>
          <a:xfrm>
            <a:off x="596274" y="7652253"/>
            <a:ext cx="1718301" cy="1415547"/>
            <a:chOff x="586749" y="7642728"/>
            <a:chExt cx="1718301" cy="1415547"/>
          </a:xfrm>
          <a:grpFill/>
        </xdr:grpSpPr>
        <xdr:sp macro="" textlink="">
          <xdr:nvSpPr>
            <xdr:cNvPr id="259" name="Rectangle 258">
              <a:extLst>
                <a:ext uri="{FF2B5EF4-FFF2-40B4-BE49-F238E27FC236}">
                  <a16:creationId xmlns:a16="http://schemas.microsoft.com/office/drawing/2014/main" id="{BD71306A-5FA6-E683-2E02-536042B5681A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0" name="Rectangle 259">
              <a:extLst>
                <a:ext uri="{FF2B5EF4-FFF2-40B4-BE49-F238E27FC236}">
                  <a16:creationId xmlns:a16="http://schemas.microsoft.com/office/drawing/2014/main" id="{9DB1A1F1-11A3-47EB-E428-7BC2E77A56BB}"/>
                </a:ext>
              </a:extLst>
            </xdr:cNvPr>
            <xdr:cNvSpPr/>
          </xdr:nvSpPr>
          <xdr:spPr>
            <a:xfrm>
              <a:off x="586749" y="7642728"/>
              <a:ext cx="1714500" cy="642341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54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DENIFER</a:t>
              </a:r>
              <a:r>
                <a:rPr lang="fr-FR" sz="1600"/>
                <a:t> </a:t>
              </a:r>
            </a:p>
          </xdr:txBody>
        </xdr:sp>
        <xdr:sp macro="" textlink="">
          <xdr:nvSpPr>
            <xdr:cNvPr id="261" name="Oval 55">
              <a:extLst>
                <a:ext uri="{FF2B5EF4-FFF2-40B4-BE49-F238E27FC236}">
                  <a16:creationId xmlns:a16="http://schemas.microsoft.com/office/drawing/2014/main" id="{C611EFAE-74F2-82BD-43A1-6748E7D9D835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39" name="Freeform: Shape 57">
            <a:extLst>
              <a:ext uri="{FF2B5EF4-FFF2-40B4-BE49-F238E27FC236}">
                <a16:creationId xmlns:a16="http://schemas.microsoft.com/office/drawing/2014/main" id="{2F2F3B6E-E774-94EE-5767-78A64992083B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grp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27</xdr:col>
      <xdr:colOff>248</xdr:colOff>
      <xdr:row>26</xdr:row>
      <xdr:rowOff>254000</xdr:rowOff>
    </xdr:from>
    <xdr:to>
      <xdr:col>29</xdr:col>
      <xdr:colOff>63500</xdr:colOff>
      <xdr:row>37</xdr:row>
      <xdr:rowOff>227252</xdr:rowOff>
    </xdr:to>
    <xdr:grpSp>
      <xdr:nvGrpSpPr>
        <xdr:cNvPr id="273" name="Group 59">
          <a:extLst>
            <a:ext uri="{FF2B5EF4-FFF2-40B4-BE49-F238E27FC236}">
              <a16:creationId xmlns:a16="http://schemas.microsoft.com/office/drawing/2014/main" id="{B66B1823-7684-4854-B81A-F95EC360A7AC}"/>
            </a:ext>
          </a:extLst>
        </xdr:cNvPr>
        <xdr:cNvGrpSpPr/>
      </xdr:nvGrpSpPr>
      <xdr:grpSpPr>
        <a:xfrm>
          <a:off x="80391248" y="10617200"/>
          <a:ext cx="15989052" cy="5002452"/>
          <a:chOff x="600075" y="7658100"/>
          <a:chExt cx="1714500" cy="1409700"/>
        </a:xfrm>
        <a:solidFill>
          <a:srgbClr val="00B0F0"/>
        </a:solidFill>
      </xdr:grpSpPr>
      <xdr:grpSp>
        <xdr:nvGrpSpPr>
          <xdr:cNvPr id="336" name="Group 58">
            <a:extLst>
              <a:ext uri="{FF2B5EF4-FFF2-40B4-BE49-F238E27FC236}">
                <a16:creationId xmlns:a16="http://schemas.microsoft.com/office/drawing/2014/main" id="{26BF947F-0C8A-752D-9696-6599ADED55F7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  <a:grpFill/>
        </xdr:grpSpPr>
        <xdr:sp macro="" textlink="">
          <xdr:nvSpPr>
            <xdr:cNvPr id="340" name="Rectangle 339">
              <a:extLst>
                <a:ext uri="{FF2B5EF4-FFF2-40B4-BE49-F238E27FC236}">
                  <a16:creationId xmlns:a16="http://schemas.microsoft.com/office/drawing/2014/main" id="{D8354D7C-FC95-8C5E-F1EA-617E5DD497F8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358" name="Rectangle 357">
              <a:extLst>
                <a:ext uri="{FF2B5EF4-FFF2-40B4-BE49-F238E27FC236}">
                  <a16:creationId xmlns:a16="http://schemas.microsoft.com/office/drawing/2014/main" id="{DB4EE344-A35A-743B-C234-F2C13614FDF6}"/>
                </a:ext>
              </a:extLst>
            </xdr:cNvPr>
            <xdr:cNvSpPr/>
          </xdr:nvSpPr>
          <xdr:spPr>
            <a:xfrm>
              <a:off x="590550" y="7658098"/>
              <a:ext cx="1714500" cy="691190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54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PASSE-FIL</a:t>
              </a:r>
              <a:r>
                <a:rPr lang="fr-FR" sz="1600"/>
                <a:t> </a:t>
              </a:r>
            </a:p>
          </xdr:txBody>
        </xdr:sp>
        <xdr:sp macro="" textlink="">
          <xdr:nvSpPr>
            <xdr:cNvPr id="387" name="Oval 55">
              <a:extLst>
                <a:ext uri="{FF2B5EF4-FFF2-40B4-BE49-F238E27FC236}">
                  <a16:creationId xmlns:a16="http://schemas.microsoft.com/office/drawing/2014/main" id="{4F9DC2DD-FDC5-8467-38CE-BD0609EE786E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338" name="Freeform: Shape 57">
            <a:extLst>
              <a:ext uri="{FF2B5EF4-FFF2-40B4-BE49-F238E27FC236}">
                <a16:creationId xmlns:a16="http://schemas.microsoft.com/office/drawing/2014/main" id="{EE77FB0B-4ABE-74F3-2DAD-866F20BAF2AF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grp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42</xdr:col>
      <xdr:colOff>96804</xdr:colOff>
      <xdr:row>25</xdr:row>
      <xdr:rowOff>127000</xdr:rowOff>
    </xdr:from>
    <xdr:to>
      <xdr:col>44</xdr:col>
      <xdr:colOff>63500</xdr:colOff>
      <xdr:row>36</xdr:row>
      <xdr:rowOff>376491</xdr:rowOff>
    </xdr:to>
    <xdr:grpSp>
      <xdr:nvGrpSpPr>
        <xdr:cNvPr id="1079" name="Group 59">
          <a:extLst>
            <a:ext uri="{FF2B5EF4-FFF2-40B4-BE49-F238E27FC236}">
              <a16:creationId xmlns:a16="http://schemas.microsoft.com/office/drawing/2014/main" id="{87259DF3-F8C3-4252-B777-8D0E2F2F053C}"/>
            </a:ext>
          </a:extLst>
        </xdr:cNvPr>
        <xdr:cNvGrpSpPr/>
      </xdr:nvGrpSpPr>
      <xdr:grpSpPr>
        <a:xfrm>
          <a:off x="165222204" y="10033000"/>
          <a:ext cx="19169096" cy="5278691"/>
          <a:chOff x="600075" y="7658100"/>
          <a:chExt cx="1714500" cy="1409700"/>
        </a:xfrm>
        <a:solidFill>
          <a:srgbClr val="00B0F0"/>
        </a:solidFill>
      </xdr:grpSpPr>
      <xdr:grpSp>
        <xdr:nvGrpSpPr>
          <xdr:cNvPr id="1088" name="Group 58">
            <a:extLst>
              <a:ext uri="{FF2B5EF4-FFF2-40B4-BE49-F238E27FC236}">
                <a16:creationId xmlns:a16="http://schemas.microsoft.com/office/drawing/2014/main" id="{B5358B50-49E6-C093-FBAC-73DDEF24F5D0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  <a:grpFill/>
        </xdr:grpSpPr>
        <xdr:sp macro="" textlink="">
          <xdr:nvSpPr>
            <xdr:cNvPr id="1090" name="Rectangle 1089">
              <a:extLst>
                <a:ext uri="{FF2B5EF4-FFF2-40B4-BE49-F238E27FC236}">
                  <a16:creationId xmlns:a16="http://schemas.microsoft.com/office/drawing/2014/main" id="{A3D4B7DE-5DBE-1C3C-12D8-349B2D57DE71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091" name="Rectangle 1090">
              <a:extLst>
                <a:ext uri="{FF2B5EF4-FFF2-40B4-BE49-F238E27FC236}">
                  <a16:creationId xmlns:a16="http://schemas.microsoft.com/office/drawing/2014/main" id="{4FF2E3FA-A3F2-09C3-F817-DB9F1DC8D534}"/>
                </a:ext>
              </a:extLst>
            </xdr:cNvPr>
            <xdr:cNvSpPr/>
          </xdr:nvSpPr>
          <xdr:spPr>
            <a:xfrm>
              <a:off x="590550" y="7658098"/>
              <a:ext cx="1714500" cy="577106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54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CONTENTION</a:t>
              </a:r>
              <a:r>
                <a:rPr lang="fr-FR" sz="1600"/>
                <a:t> </a:t>
              </a:r>
            </a:p>
          </xdr:txBody>
        </xdr:sp>
        <xdr:sp macro="" textlink="">
          <xdr:nvSpPr>
            <xdr:cNvPr id="1092" name="Oval 55">
              <a:extLst>
                <a:ext uri="{FF2B5EF4-FFF2-40B4-BE49-F238E27FC236}">
                  <a16:creationId xmlns:a16="http://schemas.microsoft.com/office/drawing/2014/main" id="{E7AED37E-8CF7-634D-CF92-FF11D4510F92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089" name="Freeform: Shape 57">
            <a:extLst>
              <a:ext uri="{FF2B5EF4-FFF2-40B4-BE49-F238E27FC236}">
                <a16:creationId xmlns:a16="http://schemas.microsoft.com/office/drawing/2014/main" id="{5BCF7D45-C20D-5A3C-517B-B14E62128B46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grp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18</xdr:col>
      <xdr:colOff>1332867</xdr:colOff>
      <xdr:row>27</xdr:row>
      <xdr:rowOff>406401</xdr:rowOff>
    </xdr:from>
    <xdr:to>
      <xdr:col>20</xdr:col>
      <xdr:colOff>12411011</xdr:colOff>
      <xdr:row>37</xdr:row>
      <xdr:rowOff>206051</xdr:rowOff>
    </xdr:to>
    <xdr:grpSp>
      <xdr:nvGrpSpPr>
        <xdr:cNvPr id="2" name="Group 72">
          <a:extLst>
            <a:ext uri="{FF2B5EF4-FFF2-40B4-BE49-F238E27FC236}">
              <a16:creationId xmlns:a16="http://schemas.microsoft.com/office/drawing/2014/main" id="{ADB514E3-8B97-4DFA-BCD8-7AB988DA9B1A}"/>
            </a:ext>
          </a:extLst>
        </xdr:cNvPr>
        <xdr:cNvGrpSpPr/>
      </xdr:nvGrpSpPr>
      <xdr:grpSpPr>
        <a:xfrm>
          <a:off x="33184467" y="11226801"/>
          <a:ext cx="19612544" cy="4371650"/>
          <a:chOff x="3150377" y="8191500"/>
          <a:chExt cx="1878823" cy="1609725"/>
        </a:xfrm>
        <a:solidFill>
          <a:srgbClr val="00B0F0"/>
        </a:solidFill>
      </xdr:grpSpPr>
      <xdr:grpSp>
        <xdr:nvGrpSpPr>
          <xdr:cNvPr id="3" name="Group 66">
            <a:extLst>
              <a:ext uri="{FF2B5EF4-FFF2-40B4-BE49-F238E27FC236}">
                <a16:creationId xmlns:a16="http://schemas.microsoft.com/office/drawing/2014/main" id="{34AF029E-191A-33D2-5A34-E75E7CC71745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  <a:grpFill/>
        </xdr:grpSpPr>
        <xdr:grpSp>
          <xdr:nvGrpSpPr>
            <xdr:cNvPr id="116" name="Group 67">
              <a:extLst>
                <a:ext uri="{FF2B5EF4-FFF2-40B4-BE49-F238E27FC236}">
                  <a16:creationId xmlns:a16="http://schemas.microsoft.com/office/drawing/2014/main" id="{4C20341A-B308-3ADA-DE9B-017C2935467E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  <a:grpFill/>
          </xdr:grpSpPr>
          <xdr:sp macro="" textlink="">
            <xdr:nvSpPr>
              <xdr:cNvPr id="121" name="Rectangle 120">
                <a:extLst>
                  <a:ext uri="{FF2B5EF4-FFF2-40B4-BE49-F238E27FC236}">
                    <a16:creationId xmlns:a16="http://schemas.microsoft.com/office/drawing/2014/main" id="{5EF43160-E578-4C17-BD1B-6B47C0DBAD81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32" name="Rectangle 131">
                <a:extLst>
                  <a:ext uri="{FF2B5EF4-FFF2-40B4-BE49-F238E27FC236}">
                    <a16:creationId xmlns:a16="http://schemas.microsoft.com/office/drawing/2014/main" id="{C14A10ED-4B63-244D-3B67-9C2F04C43B0D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35" name="Oval 71">
                <a:extLst>
                  <a:ext uri="{FF2B5EF4-FFF2-40B4-BE49-F238E27FC236}">
                    <a16:creationId xmlns:a16="http://schemas.microsoft.com/office/drawing/2014/main" id="{9AC04610-2CBB-CDEA-6117-59EEDE915C93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119" name="Freeform: Shape 68">
              <a:extLst>
                <a:ext uri="{FF2B5EF4-FFF2-40B4-BE49-F238E27FC236}">
                  <a16:creationId xmlns:a16="http://schemas.microsoft.com/office/drawing/2014/main" id="{4CD40AEB-A3EE-DD17-0D06-73A1C8EB1862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4" name="Group 60">
            <a:extLst>
              <a:ext uri="{FF2B5EF4-FFF2-40B4-BE49-F238E27FC236}">
                <a16:creationId xmlns:a16="http://schemas.microsoft.com/office/drawing/2014/main" id="{EDE095F0-AD0F-C7E1-43C0-73530B143CA3}"/>
              </a:ext>
            </a:extLst>
          </xdr:cNvPr>
          <xdr:cNvGrpSpPr/>
        </xdr:nvGrpSpPr>
        <xdr:grpSpPr>
          <a:xfrm>
            <a:off x="3150377" y="8391525"/>
            <a:ext cx="1714500" cy="1409700"/>
            <a:chOff x="607202" y="7658100"/>
            <a:chExt cx="1714500" cy="1409700"/>
          </a:xfrm>
          <a:grpFill/>
        </xdr:grpSpPr>
        <xdr:grpSp>
          <xdr:nvGrpSpPr>
            <xdr:cNvPr id="5" name="Group 61">
              <a:extLst>
                <a:ext uri="{FF2B5EF4-FFF2-40B4-BE49-F238E27FC236}">
                  <a16:creationId xmlns:a16="http://schemas.microsoft.com/office/drawing/2014/main" id="{497462D1-D7F5-7037-DFCA-59B95AA7541B}"/>
                </a:ext>
              </a:extLst>
            </xdr:cNvPr>
            <xdr:cNvGrpSpPr/>
          </xdr:nvGrpSpPr>
          <xdr:grpSpPr>
            <a:xfrm>
              <a:off x="607202" y="7658100"/>
              <a:ext cx="1714500" cy="1409700"/>
              <a:chOff x="597677" y="7648575"/>
              <a:chExt cx="1714500" cy="1409700"/>
            </a:xfrm>
            <a:grpFill/>
          </xdr:grpSpPr>
          <xdr:sp macro="" textlink="">
            <xdr:nvSpPr>
              <xdr:cNvPr id="7" name="Rectangle 6">
                <a:extLst>
                  <a:ext uri="{FF2B5EF4-FFF2-40B4-BE49-F238E27FC236}">
                    <a16:creationId xmlns:a16="http://schemas.microsoft.com/office/drawing/2014/main" id="{08B9F16F-72E1-93A7-509F-915A7A8E2016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8" name="Rectangle 7">
                <a:extLst>
                  <a:ext uri="{FF2B5EF4-FFF2-40B4-BE49-F238E27FC236}">
                    <a16:creationId xmlns:a16="http://schemas.microsoft.com/office/drawing/2014/main" id="{3608CDD9-9A76-1631-879A-C862C92EB1E3}"/>
                  </a:ext>
                </a:extLst>
              </xdr:cNvPr>
              <xdr:cNvSpPr/>
            </xdr:nvSpPr>
            <xdr:spPr>
              <a:xfrm>
                <a:off x="597677" y="7658099"/>
                <a:ext cx="1714500" cy="484517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54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HANK</a:t>
                </a:r>
              </a:p>
            </xdr:txBody>
          </xdr:sp>
          <xdr:sp macro="" textlink="">
            <xdr:nvSpPr>
              <xdr:cNvPr id="115" name="Oval 65">
                <a:extLst>
                  <a:ext uri="{FF2B5EF4-FFF2-40B4-BE49-F238E27FC236}">
                    <a16:creationId xmlns:a16="http://schemas.microsoft.com/office/drawing/2014/main" id="{A1A45AA7-BC50-FE3B-0D59-DEF51B38E253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6" name="Freeform: Shape 62">
              <a:extLst>
                <a:ext uri="{FF2B5EF4-FFF2-40B4-BE49-F238E27FC236}">
                  <a16:creationId xmlns:a16="http://schemas.microsoft.com/office/drawing/2014/main" id="{45602386-1E79-2F8E-41AA-18313DAD629F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31</xdr:col>
      <xdr:colOff>13105</xdr:colOff>
      <xdr:row>26</xdr:row>
      <xdr:rowOff>228600</xdr:rowOff>
    </xdr:from>
    <xdr:to>
      <xdr:col>33</xdr:col>
      <xdr:colOff>0</xdr:colOff>
      <xdr:row>37</xdr:row>
      <xdr:rowOff>136849</xdr:rowOff>
    </xdr:to>
    <xdr:grpSp>
      <xdr:nvGrpSpPr>
        <xdr:cNvPr id="221" name="Group 72">
          <a:extLst>
            <a:ext uri="{FF2B5EF4-FFF2-40B4-BE49-F238E27FC236}">
              <a16:creationId xmlns:a16="http://schemas.microsoft.com/office/drawing/2014/main" id="{10B34233-F86D-42C5-A7F0-32715F8EE253}"/>
            </a:ext>
          </a:extLst>
        </xdr:cNvPr>
        <xdr:cNvGrpSpPr/>
      </xdr:nvGrpSpPr>
      <xdr:grpSpPr>
        <a:xfrm>
          <a:off x="101206705" y="10591800"/>
          <a:ext cx="15684095" cy="4937449"/>
          <a:chOff x="3150377" y="8191500"/>
          <a:chExt cx="1878823" cy="1609725"/>
        </a:xfrm>
        <a:solidFill>
          <a:srgbClr val="00B0F0"/>
        </a:solidFill>
      </xdr:grpSpPr>
      <xdr:grpSp>
        <xdr:nvGrpSpPr>
          <xdr:cNvPr id="222" name="Group 66">
            <a:extLst>
              <a:ext uri="{FF2B5EF4-FFF2-40B4-BE49-F238E27FC236}">
                <a16:creationId xmlns:a16="http://schemas.microsoft.com/office/drawing/2014/main" id="{562FCD9B-EDC5-3491-0E84-D70ECF38D599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  <a:grpFill/>
        </xdr:grpSpPr>
        <xdr:grpSp>
          <xdr:nvGrpSpPr>
            <xdr:cNvPr id="278" name="Group 67">
              <a:extLst>
                <a:ext uri="{FF2B5EF4-FFF2-40B4-BE49-F238E27FC236}">
                  <a16:creationId xmlns:a16="http://schemas.microsoft.com/office/drawing/2014/main" id="{D651C86B-DD9B-497A-DC1B-2F1C5D6D9575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  <a:grpFill/>
          </xdr:grpSpPr>
          <xdr:sp macro="" textlink="">
            <xdr:nvSpPr>
              <xdr:cNvPr id="283" name="Rectangle 282">
                <a:extLst>
                  <a:ext uri="{FF2B5EF4-FFF2-40B4-BE49-F238E27FC236}">
                    <a16:creationId xmlns:a16="http://schemas.microsoft.com/office/drawing/2014/main" id="{5136FA76-DA3F-A9D1-5F73-9E3CFA235514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88" name="Rectangle 287">
                <a:extLst>
                  <a:ext uri="{FF2B5EF4-FFF2-40B4-BE49-F238E27FC236}">
                    <a16:creationId xmlns:a16="http://schemas.microsoft.com/office/drawing/2014/main" id="{FEAA62FC-A76E-C9D8-BE5C-BFB99B3ADE52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5" name="Oval 71">
                <a:extLst>
                  <a:ext uri="{FF2B5EF4-FFF2-40B4-BE49-F238E27FC236}">
                    <a16:creationId xmlns:a16="http://schemas.microsoft.com/office/drawing/2014/main" id="{07EFADF8-38DC-0271-0791-5DBA6DDDCBF0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82" name="Freeform: Shape 68">
              <a:extLst>
                <a:ext uri="{FF2B5EF4-FFF2-40B4-BE49-F238E27FC236}">
                  <a16:creationId xmlns:a16="http://schemas.microsoft.com/office/drawing/2014/main" id="{9C0359C9-670B-5624-835F-F0AAE560AAFB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254" name="Group 60">
            <a:extLst>
              <a:ext uri="{FF2B5EF4-FFF2-40B4-BE49-F238E27FC236}">
                <a16:creationId xmlns:a16="http://schemas.microsoft.com/office/drawing/2014/main" id="{2E174D2A-ED4E-8C1D-289C-1E102A867FC8}"/>
              </a:ext>
            </a:extLst>
          </xdr:cNvPr>
          <xdr:cNvGrpSpPr/>
        </xdr:nvGrpSpPr>
        <xdr:grpSpPr>
          <a:xfrm>
            <a:off x="3150377" y="8391525"/>
            <a:ext cx="1714500" cy="1409700"/>
            <a:chOff x="607202" y="7658100"/>
            <a:chExt cx="1714500" cy="1409700"/>
          </a:xfrm>
          <a:grpFill/>
        </xdr:grpSpPr>
        <xdr:grpSp>
          <xdr:nvGrpSpPr>
            <xdr:cNvPr id="255" name="Group 61">
              <a:extLst>
                <a:ext uri="{FF2B5EF4-FFF2-40B4-BE49-F238E27FC236}">
                  <a16:creationId xmlns:a16="http://schemas.microsoft.com/office/drawing/2014/main" id="{39633072-7022-6CB7-8AA0-990D2472159A}"/>
                </a:ext>
              </a:extLst>
            </xdr:cNvPr>
            <xdr:cNvGrpSpPr/>
          </xdr:nvGrpSpPr>
          <xdr:grpSpPr>
            <a:xfrm>
              <a:off x="607202" y="7658100"/>
              <a:ext cx="1714500" cy="1409700"/>
              <a:chOff x="597677" y="7648575"/>
              <a:chExt cx="1714500" cy="1409700"/>
            </a:xfrm>
            <a:grpFill/>
          </xdr:grpSpPr>
          <xdr:sp macro="" textlink="">
            <xdr:nvSpPr>
              <xdr:cNvPr id="275" name="Rectangle 274">
                <a:extLst>
                  <a:ext uri="{FF2B5EF4-FFF2-40B4-BE49-F238E27FC236}">
                    <a16:creationId xmlns:a16="http://schemas.microsoft.com/office/drawing/2014/main" id="{4789E702-C0D6-6680-BA7E-F2EB15968304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76" name="Rectangle 275">
                <a:extLst>
                  <a:ext uri="{FF2B5EF4-FFF2-40B4-BE49-F238E27FC236}">
                    <a16:creationId xmlns:a16="http://schemas.microsoft.com/office/drawing/2014/main" id="{B9886010-41B6-86F9-F824-259C7740A126}"/>
                  </a:ext>
                </a:extLst>
              </xdr:cNvPr>
              <xdr:cNvSpPr/>
            </xdr:nvSpPr>
            <xdr:spPr>
              <a:xfrm>
                <a:off x="597677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54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HANK</a:t>
                </a:r>
              </a:p>
            </xdr:txBody>
          </xdr:sp>
          <xdr:sp macro="" textlink="">
            <xdr:nvSpPr>
              <xdr:cNvPr id="277" name="Oval 65">
                <a:extLst>
                  <a:ext uri="{FF2B5EF4-FFF2-40B4-BE49-F238E27FC236}">
                    <a16:creationId xmlns:a16="http://schemas.microsoft.com/office/drawing/2014/main" id="{C9ADAE1C-1CC7-5F5B-9906-585E5E8A7517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274" name="Freeform: Shape 62">
              <a:extLst>
                <a:ext uri="{FF2B5EF4-FFF2-40B4-BE49-F238E27FC236}">
                  <a16:creationId xmlns:a16="http://schemas.microsoft.com/office/drawing/2014/main" id="{67453306-2571-B578-674C-A6375F7E198A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34</xdr:col>
      <xdr:colOff>2404852</xdr:colOff>
      <xdr:row>25</xdr:row>
      <xdr:rowOff>127000</xdr:rowOff>
    </xdr:from>
    <xdr:to>
      <xdr:col>37</xdr:col>
      <xdr:colOff>889000</xdr:colOff>
      <xdr:row>37</xdr:row>
      <xdr:rowOff>180392</xdr:rowOff>
    </xdr:to>
    <xdr:grpSp>
      <xdr:nvGrpSpPr>
        <xdr:cNvPr id="301" name="Group 72">
          <a:extLst>
            <a:ext uri="{FF2B5EF4-FFF2-40B4-BE49-F238E27FC236}">
              <a16:creationId xmlns:a16="http://schemas.microsoft.com/office/drawing/2014/main" id="{E9FD9EB5-1B67-47EA-8FD0-81B24F85D549}"/>
            </a:ext>
          </a:extLst>
        </xdr:cNvPr>
        <xdr:cNvGrpSpPr/>
      </xdr:nvGrpSpPr>
      <xdr:grpSpPr>
        <a:xfrm>
          <a:off x="121810252" y="10033000"/>
          <a:ext cx="18296148" cy="5539792"/>
          <a:chOff x="3150377" y="8191500"/>
          <a:chExt cx="1878823" cy="1609725"/>
        </a:xfrm>
        <a:solidFill>
          <a:srgbClr val="00B0F0"/>
        </a:solidFill>
      </xdr:grpSpPr>
      <xdr:grpSp>
        <xdr:nvGrpSpPr>
          <xdr:cNvPr id="303" name="Group 66">
            <a:extLst>
              <a:ext uri="{FF2B5EF4-FFF2-40B4-BE49-F238E27FC236}">
                <a16:creationId xmlns:a16="http://schemas.microsoft.com/office/drawing/2014/main" id="{48DA12BA-6DCD-04C2-8A4E-206276AD9E7F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  <a:grpFill/>
        </xdr:grpSpPr>
        <xdr:grpSp>
          <xdr:nvGrpSpPr>
            <xdr:cNvPr id="318" name="Group 67">
              <a:extLst>
                <a:ext uri="{FF2B5EF4-FFF2-40B4-BE49-F238E27FC236}">
                  <a16:creationId xmlns:a16="http://schemas.microsoft.com/office/drawing/2014/main" id="{B0E913BD-3365-F90E-C950-C4C4A4123F3F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  <a:grpFill/>
          </xdr:grpSpPr>
          <xdr:sp macro="" textlink="">
            <xdr:nvSpPr>
              <xdr:cNvPr id="322" name="Rectangle 321">
                <a:extLst>
                  <a:ext uri="{FF2B5EF4-FFF2-40B4-BE49-F238E27FC236}">
                    <a16:creationId xmlns:a16="http://schemas.microsoft.com/office/drawing/2014/main" id="{56D2DD59-9918-AF82-F49A-6AAF3E5494E9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323" name="Rectangle 322">
                <a:extLst>
                  <a:ext uri="{FF2B5EF4-FFF2-40B4-BE49-F238E27FC236}">
                    <a16:creationId xmlns:a16="http://schemas.microsoft.com/office/drawing/2014/main" id="{E6877B7B-4221-5A38-B7FB-CE2BE99EFDBF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324" name="Oval 71">
                <a:extLst>
                  <a:ext uri="{FF2B5EF4-FFF2-40B4-BE49-F238E27FC236}">
                    <a16:creationId xmlns:a16="http://schemas.microsoft.com/office/drawing/2014/main" id="{0F4526C8-4238-249C-01BE-1D6DD66450BA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320" name="Freeform: Shape 68">
              <a:extLst>
                <a:ext uri="{FF2B5EF4-FFF2-40B4-BE49-F238E27FC236}">
                  <a16:creationId xmlns:a16="http://schemas.microsoft.com/office/drawing/2014/main" id="{B8C36794-F094-18E1-0073-613E8DED156C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304" name="Group 60">
            <a:extLst>
              <a:ext uri="{FF2B5EF4-FFF2-40B4-BE49-F238E27FC236}">
                <a16:creationId xmlns:a16="http://schemas.microsoft.com/office/drawing/2014/main" id="{6E60683E-AA69-2BD9-B4BD-F69841EB6170}"/>
              </a:ext>
            </a:extLst>
          </xdr:cNvPr>
          <xdr:cNvGrpSpPr/>
        </xdr:nvGrpSpPr>
        <xdr:grpSpPr>
          <a:xfrm>
            <a:off x="3150377" y="8391525"/>
            <a:ext cx="1714500" cy="1409700"/>
            <a:chOff x="607202" y="7658100"/>
            <a:chExt cx="1714500" cy="1409700"/>
          </a:xfrm>
          <a:grpFill/>
        </xdr:grpSpPr>
        <xdr:grpSp>
          <xdr:nvGrpSpPr>
            <xdr:cNvPr id="305" name="Group 61">
              <a:extLst>
                <a:ext uri="{FF2B5EF4-FFF2-40B4-BE49-F238E27FC236}">
                  <a16:creationId xmlns:a16="http://schemas.microsoft.com/office/drawing/2014/main" id="{E291E1E0-0646-1B70-DC24-08065EEC288E}"/>
                </a:ext>
              </a:extLst>
            </xdr:cNvPr>
            <xdr:cNvGrpSpPr/>
          </xdr:nvGrpSpPr>
          <xdr:grpSpPr>
            <a:xfrm>
              <a:off x="607202" y="7658100"/>
              <a:ext cx="1714500" cy="1409700"/>
              <a:chOff x="597677" y="7648575"/>
              <a:chExt cx="1714500" cy="1409700"/>
            </a:xfrm>
            <a:grpFill/>
          </xdr:grpSpPr>
          <xdr:sp macro="" textlink="">
            <xdr:nvSpPr>
              <xdr:cNvPr id="311" name="Rectangle 310">
                <a:extLst>
                  <a:ext uri="{FF2B5EF4-FFF2-40B4-BE49-F238E27FC236}">
                    <a16:creationId xmlns:a16="http://schemas.microsoft.com/office/drawing/2014/main" id="{4A0EEF6F-2482-994A-FC86-E1FA29B6EED6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312" name="Rectangle 311">
                <a:extLst>
                  <a:ext uri="{FF2B5EF4-FFF2-40B4-BE49-F238E27FC236}">
                    <a16:creationId xmlns:a16="http://schemas.microsoft.com/office/drawing/2014/main" id="{228FFFC6-249C-51D0-1437-0B005EEFAA9F}"/>
                  </a:ext>
                </a:extLst>
              </xdr:cNvPr>
              <xdr:cNvSpPr/>
            </xdr:nvSpPr>
            <xdr:spPr>
              <a:xfrm>
                <a:off x="597677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fr-FR" sz="5400" b="1">
                    <a:solidFill>
                      <a:schemeClr val="dk1"/>
                    </a:solidFill>
                    <a:effectLst/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rPr>
                  <a:t>ELOPAR</a:t>
                </a:r>
                <a:endParaRPr lang="fr-FR" sz="54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316" name="Oval 65">
                <a:extLst>
                  <a:ext uri="{FF2B5EF4-FFF2-40B4-BE49-F238E27FC236}">
                    <a16:creationId xmlns:a16="http://schemas.microsoft.com/office/drawing/2014/main" id="{D127F37D-013A-D9FF-1A7B-AA278966AE17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309" name="Freeform: Shape 62">
              <a:extLst>
                <a:ext uri="{FF2B5EF4-FFF2-40B4-BE49-F238E27FC236}">
                  <a16:creationId xmlns:a16="http://schemas.microsoft.com/office/drawing/2014/main" id="{9089B5E6-A659-C986-EE03-B0C31F558B9D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38</xdr:col>
      <xdr:colOff>1842722</xdr:colOff>
      <xdr:row>25</xdr:row>
      <xdr:rowOff>254000</xdr:rowOff>
    </xdr:from>
    <xdr:to>
      <xdr:col>40</xdr:col>
      <xdr:colOff>11493500</xdr:colOff>
      <xdr:row>37</xdr:row>
      <xdr:rowOff>46325</xdr:rowOff>
    </xdr:to>
    <xdr:grpSp>
      <xdr:nvGrpSpPr>
        <xdr:cNvPr id="385" name="Group 72">
          <a:extLst>
            <a:ext uri="{FF2B5EF4-FFF2-40B4-BE49-F238E27FC236}">
              <a16:creationId xmlns:a16="http://schemas.microsoft.com/office/drawing/2014/main" id="{6A3DABA2-885B-493C-8DD1-31F2F687667E}"/>
            </a:ext>
          </a:extLst>
        </xdr:cNvPr>
        <xdr:cNvGrpSpPr/>
      </xdr:nvGrpSpPr>
      <xdr:grpSpPr>
        <a:xfrm>
          <a:off x="144717722" y="10160000"/>
          <a:ext cx="15822978" cy="5278725"/>
          <a:chOff x="3150377" y="8191500"/>
          <a:chExt cx="1878823" cy="1609725"/>
        </a:xfrm>
        <a:solidFill>
          <a:srgbClr val="00B0F0"/>
        </a:solidFill>
      </xdr:grpSpPr>
      <xdr:grpSp>
        <xdr:nvGrpSpPr>
          <xdr:cNvPr id="386" name="Group 66">
            <a:extLst>
              <a:ext uri="{FF2B5EF4-FFF2-40B4-BE49-F238E27FC236}">
                <a16:creationId xmlns:a16="http://schemas.microsoft.com/office/drawing/2014/main" id="{0EDF93EB-702C-5FE6-1B94-95FDFECA6423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  <a:grpFill/>
        </xdr:grpSpPr>
        <xdr:grpSp>
          <xdr:nvGrpSpPr>
            <xdr:cNvPr id="457" name="Group 67">
              <a:extLst>
                <a:ext uri="{FF2B5EF4-FFF2-40B4-BE49-F238E27FC236}">
                  <a16:creationId xmlns:a16="http://schemas.microsoft.com/office/drawing/2014/main" id="{89265E34-D7B9-42D6-C024-55E6E837E619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  <a:grpFill/>
          </xdr:grpSpPr>
          <xdr:sp macro="" textlink="">
            <xdr:nvSpPr>
              <xdr:cNvPr id="504" name="Rectangle 503">
                <a:extLst>
                  <a:ext uri="{FF2B5EF4-FFF2-40B4-BE49-F238E27FC236}">
                    <a16:creationId xmlns:a16="http://schemas.microsoft.com/office/drawing/2014/main" id="{00E69FE6-B6C6-C082-57DD-1668015C2628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06" name="Rectangle 505">
                <a:extLst>
                  <a:ext uri="{FF2B5EF4-FFF2-40B4-BE49-F238E27FC236}">
                    <a16:creationId xmlns:a16="http://schemas.microsoft.com/office/drawing/2014/main" id="{F81C0FCC-160A-6643-D98D-32298B172F88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07" name="Oval 71">
                <a:extLst>
                  <a:ext uri="{FF2B5EF4-FFF2-40B4-BE49-F238E27FC236}">
                    <a16:creationId xmlns:a16="http://schemas.microsoft.com/office/drawing/2014/main" id="{EA4B8611-D12C-F647-9B4E-54BC79910F23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459" name="Freeform: Shape 68">
              <a:extLst>
                <a:ext uri="{FF2B5EF4-FFF2-40B4-BE49-F238E27FC236}">
                  <a16:creationId xmlns:a16="http://schemas.microsoft.com/office/drawing/2014/main" id="{505821D6-B6BE-75EB-1611-BBFC27409000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408" name="Group 60">
            <a:extLst>
              <a:ext uri="{FF2B5EF4-FFF2-40B4-BE49-F238E27FC236}">
                <a16:creationId xmlns:a16="http://schemas.microsoft.com/office/drawing/2014/main" id="{B8387444-395F-2618-F1C7-A764B1A83F72}"/>
              </a:ext>
            </a:extLst>
          </xdr:cNvPr>
          <xdr:cNvGrpSpPr/>
        </xdr:nvGrpSpPr>
        <xdr:grpSpPr>
          <a:xfrm>
            <a:off x="3150377" y="8391525"/>
            <a:ext cx="1714500" cy="1409700"/>
            <a:chOff x="607202" y="7658100"/>
            <a:chExt cx="1714500" cy="1409700"/>
          </a:xfrm>
          <a:grpFill/>
        </xdr:grpSpPr>
        <xdr:grpSp>
          <xdr:nvGrpSpPr>
            <xdr:cNvPr id="409" name="Group 61">
              <a:extLst>
                <a:ext uri="{FF2B5EF4-FFF2-40B4-BE49-F238E27FC236}">
                  <a16:creationId xmlns:a16="http://schemas.microsoft.com/office/drawing/2014/main" id="{24904A42-71EA-D2E7-34AF-4F7920D54989}"/>
                </a:ext>
              </a:extLst>
            </xdr:cNvPr>
            <xdr:cNvGrpSpPr/>
          </xdr:nvGrpSpPr>
          <xdr:grpSpPr>
            <a:xfrm>
              <a:off x="607202" y="7658100"/>
              <a:ext cx="1714500" cy="1409700"/>
              <a:chOff x="597677" y="7648575"/>
              <a:chExt cx="1714500" cy="1409700"/>
            </a:xfrm>
            <a:grpFill/>
          </xdr:grpSpPr>
          <xdr:sp macro="" textlink="">
            <xdr:nvSpPr>
              <xdr:cNvPr id="447" name="Rectangle 446">
                <a:extLst>
                  <a:ext uri="{FF2B5EF4-FFF2-40B4-BE49-F238E27FC236}">
                    <a16:creationId xmlns:a16="http://schemas.microsoft.com/office/drawing/2014/main" id="{1C3857F5-9786-0E4C-1BD1-377CCF227FE9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448" name="Rectangle 447">
                <a:extLst>
                  <a:ext uri="{FF2B5EF4-FFF2-40B4-BE49-F238E27FC236}">
                    <a16:creationId xmlns:a16="http://schemas.microsoft.com/office/drawing/2014/main" id="{470C788A-530C-3A83-8FB2-9C208218E9EC}"/>
                  </a:ext>
                </a:extLst>
              </xdr:cNvPr>
              <xdr:cNvSpPr/>
            </xdr:nvSpPr>
            <xdr:spPr>
              <a:xfrm>
                <a:off x="597677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fr-FR" sz="5400" b="1">
                    <a:solidFill>
                      <a:schemeClr val="dk1"/>
                    </a:solidFill>
                    <a:effectLst/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rPr>
                  <a:t>RAYCHEM</a:t>
                </a:r>
                <a:endParaRPr lang="fr-FR" sz="54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453" name="Oval 65">
                <a:extLst>
                  <a:ext uri="{FF2B5EF4-FFF2-40B4-BE49-F238E27FC236}">
                    <a16:creationId xmlns:a16="http://schemas.microsoft.com/office/drawing/2014/main" id="{3B4C4AE9-6A14-7136-2DF2-3F1C7A7567CD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410" name="Freeform: Shape 62">
              <a:extLst>
                <a:ext uri="{FF2B5EF4-FFF2-40B4-BE49-F238E27FC236}">
                  <a16:creationId xmlns:a16="http://schemas.microsoft.com/office/drawing/2014/main" id="{4E0FFB81-AF90-E1D4-CE01-6A4DCB3306E6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12</xdr:col>
      <xdr:colOff>445191</xdr:colOff>
      <xdr:row>34</xdr:row>
      <xdr:rowOff>316673</xdr:rowOff>
    </xdr:from>
    <xdr:to>
      <xdr:col>13</xdr:col>
      <xdr:colOff>52552</xdr:colOff>
      <xdr:row>34</xdr:row>
      <xdr:rowOff>341586</xdr:rowOff>
    </xdr:to>
    <xdr:cxnSp macro="">
      <xdr:nvCxnSpPr>
        <xdr:cNvPr id="567" name="Straight Arrow Connector 527">
          <a:extLst>
            <a:ext uri="{FF2B5EF4-FFF2-40B4-BE49-F238E27FC236}">
              <a16:creationId xmlns:a16="http://schemas.microsoft.com/office/drawing/2014/main" id="{D5092355-341C-4D67-94D9-F08723722AA1}"/>
            </a:ext>
          </a:extLst>
        </xdr:cNvPr>
        <xdr:cNvCxnSpPr>
          <a:stCxn id="735" idx="3"/>
        </xdr:cNvCxnSpPr>
      </xdr:nvCxnSpPr>
      <xdr:spPr>
        <a:xfrm>
          <a:off x="11428501" y="14058949"/>
          <a:ext cx="1604327" cy="24913"/>
        </a:xfrm>
        <a:prstGeom prst="straightConnector1">
          <a:avLst/>
        </a:prstGeom>
        <a:ln w="7620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679590</xdr:colOff>
      <xdr:row>24</xdr:row>
      <xdr:rowOff>113161</xdr:rowOff>
    </xdr:from>
    <xdr:to>
      <xdr:col>12</xdr:col>
      <xdr:colOff>818328</xdr:colOff>
      <xdr:row>26</xdr:row>
      <xdr:rowOff>52201</xdr:rowOff>
    </xdr:to>
    <xdr:grpSp>
      <xdr:nvGrpSpPr>
        <xdr:cNvPr id="573" name="Group 206">
          <a:extLst>
            <a:ext uri="{FF2B5EF4-FFF2-40B4-BE49-F238E27FC236}">
              <a16:creationId xmlns:a16="http://schemas.microsoft.com/office/drawing/2014/main" id="{A37FB614-B445-4BD6-B1B0-83BBD75C2945}"/>
            </a:ext>
          </a:extLst>
        </xdr:cNvPr>
        <xdr:cNvGrpSpPr/>
      </xdr:nvGrpSpPr>
      <xdr:grpSpPr>
        <a:xfrm>
          <a:off x="11195190" y="9561961"/>
          <a:ext cx="1053138" cy="853440"/>
          <a:chOff x="266700" y="14344650"/>
          <a:chExt cx="1743075" cy="1314450"/>
        </a:xfrm>
        <a:solidFill>
          <a:schemeClr val="bg1">
            <a:lumMod val="85000"/>
          </a:schemeClr>
        </a:solidFill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9D02B89C-14B5-DCF3-F7C0-591C5C279D14}"/>
              </a:ext>
            </a:extLst>
          </xdr:cNvPr>
          <xdr:cNvSpPr/>
        </xdr:nvSpPr>
        <xdr:spPr>
          <a:xfrm>
            <a:off x="266700" y="14344650"/>
            <a:ext cx="1743075" cy="1314450"/>
          </a:xfrm>
          <a:prstGeom prst="rect">
            <a:avLst/>
          </a:prstGeom>
          <a:grp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75" name="Arc 26">
            <a:extLst>
              <a:ext uri="{FF2B5EF4-FFF2-40B4-BE49-F238E27FC236}">
                <a16:creationId xmlns:a16="http://schemas.microsoft.com/office/drawing/2014/main" id="{CA114BC3-C7E0-3983-E4D1-B9548FF6E3A0}"/>
              </a:ext>
            </a:extLst>
          </xdr:cNvPr>
          <xdr:cNvSpPr>
            <a:spLocks/>
          </xdr:cNvSpPr>
        </xdr:nvSpPr>
        <xdr:spPr bwMode="auto">
          <a:xfrm rot="18887410">
            <a:off x="825004" y="14688973"/>
            <a:ext cx="709325" cy="726952"/>
          </a:xfrm>
          <a:custGeom>
            <a:avLst/>
            <a:gdLst>
              <a:gd name="T0" fmla="*/ 194204 w 43200"/>
              <a:gd name="T1" fmla="*/ 384166 h 43200"/>
              <a:gd name="T2" fmla="*/ 384175 w 43200"/>
              <a:gd name="T3" fmla="*/ 192088 h 43200"/>
              <a:gd name="T4" fmla="*/ 192088 w 43200"/>
              <a:gd name="T5" fmla="*/ 192088 h 43200"/>
              <a:gd name="T6" fmla="*/ 0 60000 65536"/>
              <a:gd name="T7" fmla="*/ 0 60000 65536"/>
              <a:gd name="T8" fmla="*/ 0 60000 65536"/>
              <a:gd name="T9" fmla="*/ 0 w 43200"/>
              <a:gd name="T10" fmla="*/ 0 h 43200"/>
              <a:gd name="T11" fmla="*/ 43200 w 43200"/>
              <a:gd name="T12" fmla="*/ 43200 h 432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43200" h="43200" fill="none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</a:path>
              <a:path w="43200" h="43200" stroke="0" extrusionOk="0">
                <a:moveTo>
                  <a:pt x="21837" y="43198"/>
                </a:moveTo>
                <a:cubicBezTo>
                  <a:pt x="21758" y="43199"/>
                  <a:pt x="21679" y="43199"/>
                  <a:pt x="21600" y="43200"/>
                </a:cubicBezTo>
                <a:cubicBezTo>
                  <a:pt x="9670" y="43200"/>
                  <a:pt x="0" y="33529"/>
                  <a:pt x="0" y="21600"/>
                </a:cubicBezTo>
                <a:cubicBezTo>
                  <a:pt x="0" y="9670"/>
                  <a:pt x="9670" y="0"/>
                  <a:pt x="21600" y="0"/>
                </a:cubicBezTo>
                <a:cubicBezTo>
                  <a:pt x="33529" y="-1"/>
                  <a:pt x="43199" y="9670"/>
                  <a:pt x="43200" y="21599"/>
                </a:cubicBezTo>
                <a:lnTo>
                  <a:pt x="21600" y="21600"/>
                </a:lnTo>
                <a:close/>
              </a:path>
            </a:pathLst>
          </a:custGeom>
          <a:grpFill/>
          <a:ln w="38100">
            <a:solidFill>
              <a:schemeClr val="tx1"/>
            </a:solidFill>
            <a:round/>
            <a:headEnd/>
            <a:tailEnd type="triangle" w="med" len="med"/>
          </a:ln>
        </xdr:spPr>
        <xdr:txBody>
          <a:bodyPr vert="eaVert"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lnSpc>
                <a:spcPct val="90000"/>
              </a:lnSpc>
              <a:spcBef>
                <a:spcPts val="750"/>
              </a:spcBef>
            </a:pPr>
            <a:endParaRPr lang="en-GB" altLang="en-US" sz="1600"/>
          </a:p>
        </xdr:txBody>
      </xdr:sp>
    </xdr:grpSp>
    <xdr:clientData/>
  </xdr:twoCellAnchor>
  <xdr:twoCellAnchor>
    <xdr:from>
      <xdr:col>10</xdr:col>
      <xdr:colOff>379928</xdr:colOff>
      <xdr:row>31</xdr:row>
      <xdr:rowOff>423140</xdr:rowOff>
    </xdr:from>
    <xdr:to>
      <xdr:col>12</xdr:col>
      <xdr:colOff>445191</xdr:colOff>
      <xdr:row>37</xdr:row>
      <xdr:rowOff>210206</xdr:rowOff>
    </xdr:to>
    <xdr:grpSp>
      <xdr:nvGrpSpPr>
        <xdr:cNvPr id="734" name="Group 252">
          <a:extLst>
            <a:ext uri="{FF2B5EF4-FFF2-40B4-BE49-F238E27FC236}">
              <a16:creationId xmlns:a16="http://schemas.microsoft.com/office/drawing/2014/main" id="{A1623D9A-1543-4092-919D-79EB2F5E7674}"/>
            </a:ext>
          </a:extLst>
        </xdr:cNvPr>
        <xdr:cNvGrpSpPr/>
      </xdr:nvGrpSpPr>
      <xdr:grpSpPr>
        <a:xfrm>
          <a:off x="9981128" y="13072340"/>
          <a:ext cx="1894063" cy="2530266"/>
          <a:chOff x="4152900" y="18545175"/>
          <a:chExt cx="1743075" cy="1409700"/>
        </a:xfrm>
      </xdr:grpSpPr>
      <xdr:sp macro="" textlink="">
        <xdr:nvSpPr>
          <xdr:cNvPr id="735" name="Rectangle 734">
            <a:extLst>
              <a:ext uri="{FF2B5EF4-FFF2-40B4-BE49-F238E27FC236}">
                <a16:creationId xmlns:a16="http://schemas.microsoft.com/office/drawing/2014/main" id="{868582CE-5FC1-5C58-59B0-A76DE3B42A14}"/>
              </a:ext>
            </a:extLst>
          </xdr:cNvPr>
          <xdr:cNvSpPr/>
        </xdr:nvSpPr>
        <xdr:spPr>
          <a:xfrm>
            <a:off x="4152900" y="1854517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736" name="Group 251">
            <a:extLst>
              <a:ext uri="{FF2B5EF4-FFF2-40B4-BE49-F238E27FC236}">
                <a16:creationId xmlns:a16="http://schemas.microsoft.com/office/drawing/2014/main" id="{C02FDFF3-1E5F-A047-84D8-4AE45C620195}"/>
              </a:ext>
            </a:extLst>
          </xdr:cNvPr>
          <xdr:cNvGrpSpPr/>
        </xdr:nvGrpSpPr>
        <xdr:grpSpPr>
          <a:xfrm>
            <a:off x="4848224" y="18735676"/>
            <a:ext cx="381001" cy="1066799"/>
            <a:chOff x="4867274" y="18630901"/>
            <a:chExt cx="381001" cy="1066799"/>
          </a:xfrm>
        </xdr:grpSpPr>
        <xdr:grpSp>
          <xdr:nvGrpSpPr>
            <xdr:cNvPr id="737" name="Group 248">
              <a:extLst>
                <a:ext uri="{FF2B5EF4-FFF2-40B4-BE49-F238E27FC236}">
                  <a16:creationId xmlns:a16="http://schemas.microsoft.com/office/drawing/2014/main" id="{5312353E-4A61-A173-4A0D-D18DBF82972B}"/>
                </a:ext>
              </a:extLst>
            </xdr:cNvPr>
            <xdr:cNvGrpSpPr/>
          </xdr:nvGrpSpPr>
          <xdr:grpSpPr>
            <a:xfrm>
              <a:off x="4867275" y="18630901"/>
              <a:ext cx="380999" cy="800100"/>
              <a:chOff x="4933950" y="18811876"/>
              <a:chExt cx="380999" cy="971549"/>
            </a:xfrm>
          </xdr:grpSpPr>
          <xdr:grpSp>
            <xdr:nvGrpSpPr>
              <xdr:cNvPr id="739" name="Group 239">
                <a:extLst>
                  <a:ext uri="{FF2B5EF4-FFF2-40B4-BE49-F238E27FC236}">
                    <a16:creationId xmlns:a16="http://schemas.microsoft.com/office/drawing/2014/main" id="{C300E39E-8899-93B0-1C91-EF7BD44852D3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33950" y="18811876"/>
                <a:ext cx="380999" cy="971549"/>
                <a:chOff x="339" y="1152"/>
                <a:chExt cx="147" cy="433"/>
              </a:xfrm>
            </xdr:grpSpPr>
            <xdr:sp macro="" textlink="">
              <xdr:nvSpPr>
                <xdr:cNvPr id="741" name="Line 11">
                  <a:extLst>
                    <a:ext uri="{FF2B5EF4-FFF2-40B4-BE49-F238E27FC236}">
                      <a16:creationId xmlns:a16="http://schemas.microsoft.com/office/drawing/2014/main" id="{AD1B26B0-C569-386F-1F35-0FC052DC8B89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486" y="1152"/>
                  <a:ext cx="0" cy="432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742" name="Line 12">
                  <a:extLst>
                    <a:ext uri="{FF2B5EF4-FFF2-40B4-BE49-F238E27FC236}">
                      <a16:creationId xmlns:a16="http://schemas.microsoft.com/office/drawing/2014/main" id="{26F5A537-1260-79EF-0564-C2D7578B9C13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584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743" name="Line 13">
                  <a:extLst>
                    <a:ext uri="{FF2B5EF4-FFF2-40B4-BE49-F238E27FC236}">
                      <a16:creationId xmlns:a16="http://schemas.microsoft.com/office/drawing/2014/main" id="{B78CFCD3-0E9A-A5DF-D96D-853BEC603F12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440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744" name="Line 14">
                  <a:extLst>
                    <a:ext uri="{FF2B5EF4-FFF2-40B4-BE49-F238E27FC236}">
                      <a16:creationId xmlns:a16="http://schemas.microsoft.com/office/drawing/2014/main" id="{4A4DCF12-8029-750B-F76C-3EB5C3EA74E5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296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745" name="Line 15">
                  <a:extLst>
                    <a:ext uri="{FF2B5EF4-FFF2-40B4-BE49-F238E27FC236}">
                      <a16:creationId xmlns:a16="http://schemas.microsoft.com/office/drawing/2014/main" id="{CABC9BB8-88A2-DB73-6454-6278F358EF42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152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</xdr:grpSp>
          <xdr:cxnSp macro="">
            <xdr:nvCxnSpPr>
              <xdr:cNvPr id="740" name="Straight Connector 246">
                <a:extLst>
                  <a:ext uri="{FF2B5EF4-FFF2-40B4-BE49-F238E27FC236}">
                    <a16:creationId xmlns:a16="http://schemas.microsoft.com/office/drawing/2014/main" id="{D3B2A728-183A-32A6-BD99-0DB2674F7D81}"/>
                  </a:ext>
                </a:extLst>
              </xdr:cNvPr>
              <xdr:cNvCxnSpPr>
                <a:stCxn id="745" idx="1"/>
                <a:endCxn id="742" idx="1"/>
              </xdr:cNvCxnSpPr>
            </xdr:nvCxnSpPr>
            <xdr:spPr>
              <a:xfrm>
                <a:off x="4933950" y="18814120"/>
                <a:ext cx="0" cy="969305"/>
              </a:xfrm>
              <a:prstGeom prst="line">
                <a:avLst/>
              </a:prstGeom>
              <a:ln w="28575"/>
            </xdr:spPr>
            <xdr:style>
              <a:lnRef idx="3">
                <a:schemeClr val="dk1"/>
              </a:lnRef>
              <a:fillRef idx="0">
                <a:schemeClr val="dk1"/>
              </a:fillRef>
              <a:effectRef idx="2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738" name="Rectangle 737">
              <a:extLst>
                <a:ext uri="{FF2B5EF4-FFF2-40B4-BE49-F238E27FC236}">
                  <a16:creationId xmlns:a16="http://schemas.microsoft.com/office/drawing/2014/main" id="{43117D63-679F-A4DE-82E8-FB436A655C9E}"/>
                </a:ext>
              </a:extLst>
            </xdr:cNvPr>
            <xdr:cNvSpPr/>
          </xdr:nvSpPr>
          <xdr:spPr>
            <a:xfrm>
              <a:off x="4867274" y="19431000"/>
              <a:ext cx="381001" cy="266700"/>
            </a:xfrm>
            <a:prstGeom prst="rect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46</xdr:col>
      <xdr:colOff>596509</xdr:colOff>
      <xdr:row>28</xdr:row>
      <xdr:rowOff>317500</xdr:rowOff>
    </xdr:from>
    <xdr:to>
      <xdr:col>47</xdr:col>
      <xdr:colOff>1333501</xdr:colOff>
      <xdr:row>36</xdr:row>
      <xdr:rowOff>77893</xdr:rowOff>
    </xdr:to>
    <xdr:grpSp>
      <xdr:nvGrpSpPr>
        <xdr:cNvPr id="856" name="Group 252">
          <a:extLst>
            <a:ext uri="{FF2B5EF4-FFF2-40B4-BE49-F238E27FC236}">
              <a16:creationId xmlns:a16="http://schemas.microsoft.com/office/drawing/2014/main" id="{6EE49CA2-DF9F-4D8D-8CDE-6B03436C26C0}"/>
            </a:ext>
          </a:extLst>
        </xdr:cNvPr>
        <xdr:cNvGrpSpPr/>
      </xdr:nvGrpSpPr>
      <xdr:grpSpPr>
        <a:xfrm>
          <a:off x="189724909" y="11595100"/>
          <a:ext cx="2413392" cy="3417993"/>
          <a:chOff x="4249454" y="18545175"/>
          <a:chExt cx="1743075" cy="1409700"/>
        </a:xfrm>
      </xdr:grpSpPr>
      <xdr:sp macro="" textlink="">
        <xdr:nvSpPr>
          <xdr:cNvPr id="891" name="Rectangle 890">
            <a:extLst>
              <a:ext uri="{FF2B5EF4-FFF2-40B4-BE49-F238E27FC236}">
                <a16:creationId xmlns:a16="http://schemas.microsoft.com/office/drawing/2014/main" id="{A6AFC334-7066-2ED5-CD35-8F6E9BE5AD28}"/>
              </a:ext>
            </a:extLst>
          </xdr:cNvPr>
          <xdr:cNvSpPr/>
        </xdr:nvSpPr>
        <xdr:spPr>
          <a:xfrm>
            <a:off x="4249454" y="1854517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892" name="Group 251">
            <a:extLst>
              <a:ext uri="{FF2B5EF4-FFF2-40B4-BE49-F238E27FC236}">
                <a16:creationId xmlns:a16="http://schemas.microsoft.com/office/drawing/2014/main" id="{95BF8F73-7AD2-2004-E55B-7978F3C398D5}"/>
              </a:ext>
            </a:extLst>
          </xdr:cNvPr>
          <xdr:cNvGrpSpPr/>
        </xdr:nvGrpSpPr>
        <xdr:grpSpPr>
          <a:xfrm>
            <a:off x="4848224" y="18735676"/>
            <a:ext cx="381001" cy="1066799"/>
            <a:chOff x="4867274" y="18630901"/>
            <a:chExt cx="381001" cy="1066799"/>
          </a:xfrm>
        </xdr:grpSpPr>
        <xdr:grpSp>
          <xdr:nvGrpSpPr>
            <xdr:cNvPr id="893" name="Group 248">
              <a:extLst>
                <a:ext uri="{FF2B5EF4-FFF2-40B4-BE49-F238E27FC236}">
                  <a16:creationId xmlns:a16="http://schemas.microsoft.com/office/drawing/2014/main" id="{CA607CCE-526D-7E48-F305-ACC476CD18B6}"/>
                </a:ext>
              </a:extLst>
            </xdr:cNvPr>
            <xdr:cNvGrpSpPr/>
          </xdr:nvGrpSpPr>
          <xdr:grpSpPr>
            <a:xfrm>
              <a:off x="4867275" y="18630901"/>
              <a:ext cx="380999" cy="800100"/>
              <a:chOff x="4933950" y="18811876"/>
              <a:chExt cx="380999" cy="971549"/>
            </a:xfrm>
          </xdr:grpSpPr>
          <xdr:grpSp>
            <xdr:nvGrpSpPr>
              <xdr:cNvPr id="895" name="Group 239">
                <a:extLst>
                  <a:ext uri="{FF2B5EF4-FFF2-40B4-BE49-F238E27FC236}">
                    <a16:creationId xmlns:a16="http://schemas.microsoft.com/office/drawing/2014/main" id="{D9B8A882-9CEF-E5BE-28E3-9A2229F135C7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33950" y="18811876"/>
                <a:ext cx="380999" cy="971549"/>
                <a:chOff x="339" y="1152"/>
                <a:chExt cx="147" cy="433"/>
              </a:xfrm>
            </xdr:grpSpPr>
            <xdr:sp macro="" textlink="">
              <xdr:nvSpPr>
                <xdr:cNvPr id="897" name="Line 11">
                  <a:extLst>
                    <a:ext uri="{FF2B5EF4-FFF2-40B4-BE49-F238E27FC236}">
                      <a16:creationId xmlns:a16="http://schemas.microsoft.com/office/drawing/2014/main" id="{2DA074EB-0214-BB4E-2469-F3B0B2513D01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486" y="1152"/>
                  <a:ext cx="0" cy="432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898" name="Line 12">
                  <a:extLst>
                    <a:ext uri="{FF2B5EF4-FFF2-40B4-BE49-F238E27FC236}">
                      <a16:creationId xmlns:a16="http://schemas.microsoft.com/office/drawing/2014/main" id="{A1CEA2D5-3F34-22AF-AA66-09CA82842F41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584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899" name="Line 13">
                  <a:extLst>
                    <a:ext uri="{FF2B5EF4-FFF2-40B4-BE49-F238E27FC236}">
                      <a16:creationId xmlns:a16="http://schemas.microsoft.com/office/drawing/2014/main" id="{593412F9-D477-3315-39E6-1DF7F89DBE5E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440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900" name="Line 14">
                  <a:extLst>
                    <a:ext uri="{FF2B5EF4-FFF2-40B4-BE49-F238E27FC236}">
                      <a16:creationId xmlns:a16="http://schemas.microsoft.com/office/drawing/2014/main" id="{A3C11E66-E310-23B7-A65C-E24906989997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296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901" name="Line 15">
                  <a:extLst>
                    <a:ext uri="{FF2B5EF4-FFF2-40B4-BE49-F238E27FC236}">
                      <a16:creationId xmlns:a16="http://schemas.microsoft.com/office/drawing/2014/main" id="{FD010FA4-0718-B759-8305-2341245810E1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152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</xdr:grpSp>
          <xdr:cxnSp macro="">
            <xdr:nvCxnSpPr>
              <xdr:cNvPr id="896" name="Straight Connector 246">
                <a:extLst>
                  <a:ext uri="{FF2B5EF4-FFF2-40B4-BE49-F238E27FC236}">
                    <a16:creationId xmlns:a16="http://schemas.microsoft.com/office/drawing/2014/main" id="{6FCF2413-2688-65DA-8D28-21314B5CA1D3}"/>
                  </a:ext>
                </a:extLst>
              </xdr:cNvPr>
              <xdr:cNvCxnSpPr>
                <a:stCxn id="901" idx="1"/>
                <a:endCxn id="898" idx="1"/>
              </xdr:cNvCxnSpPr>
            </xdr:nvCxnSpPr>
            <xdr:spPr>
              <a:xfrm>
                <a:off x="4933950" y="18814120"/>
                <a:ext cx="0" cy="969305"/>
              </a:xfrm>
              <a:prstGeom prst="line">
                <a:avLst/>
              </a:prstGeom>
              <a:ln w="28575"/>
            </xdr:spPr>
            <xdr:style>
              <a:lnRef idx="3">
                <a:schemeClr val="dk1"/>
              </a:lnRef>
              <a:fillRef idx="0">
                <a:schemeClr val="dk1"/>
              </a:fillRef>
              <a:effectRef idx="2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894" name="Rectangle 893">
              <a:extLst>
                <a:ext uri="{FF2B5EF4-FFF2-40B4-BE49-F238E27FC236}">
                  <a16:creationId xmlns:a16="http://schemas.microsoft.com/office/drawing/2014/main" id="{2C55130E-A901-AF0A-CA0A-96030E5DA8E9}"/>
                </a:ext>
              </a:extLst>
            </xdr:cNvPr>
            <xdr:cNvSpPr/>
          </xdr:nvSpPr>
          <xdr:spPr>
            <a:xfrm>
              <a:off x="4867274" y="19431000"/>
              <a:ext cx="381001" cy="266700"/>
            </a:xfrm>
            <a:prstGeom prst="rect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43</xdr:col>
      <xdr:colOff>11067267</xdr:colOff>
      <xdr:row>9</xdr:row>
      <xdr:rowOff>7590</xdr:rowOff>
    </xdr:from>
    <xdr:to>
      <xdr:col>47</xdr:col>
      <xdr:colOff>5889412</xdr:colOff>
      <xdr:row>15</xdr:row>
      <xdr:rowOff>367316</xdr:rowOff>
    </xdr:to>
    <xdr:grpSp>
      <xdr:nvGrpSpPr>
        <xdr:cNvPr id="905" name="Group 23">
          <a:extLst>
            <a:ext uri="{FF2B5EF4-FFF2-40B4-BE49-F238E27FC236}">
              <a16:creationId xmlns:a16="http://schemas.microsoft.com/office/drawing/2014/main" id="{E6A2E03C-236A-4D38-A8B7-57FBFAA5678B}"/>
            </a:ext>
          </a:extLst>
        </xdr:cNvPr>
        <xdr:cNvGrpSpPr/>
      </xdr:nvGrpSpPr>
      <xdr:grpSpPr>
        <a:xfrm>
          <a:off x="181755267" y="2598390"/>
          <a:ext cx="14938945" cy="3102926"/>
          <a:chOff x="1863655" y="3857625"/>
          <a:chExt cx="1070045" cy="742950"/>
        </a:xfrm>
        <a:solidFill>
          <a:schemeClr val="accent1">
            <a:lumMod val="40000"/>
            <a:lumOff val="60000"/>
          </a:schemeClr>
        </a:solidFill>
      </xdr:grpSpPr>
      <xdr:sp macro="" textlink="">
        <xdr:nvSpPr>
          <xdr:cNvPr id="906" name="Freeform: Shape 18">
            <a:extLst>
              <a:ext uri="{FF2B5EF4-FFF2-40B4-BE49-F238E27FC236}">
                <a16:creationId xmlns:a16="http://schemas.microsoft.com/office/drawing/2014/main" id="{25574F41-B576-63D4-8B52-AF4257641769}"/>
              </a:ext>
            </a:extLst>
          </xdr:cNvPr>
          <xdr:cNvSpPr/>
        </xdr:nvSpPr>
        <xdr:spPr>
          <a:xfrm>
            <a:off x="1863655" y="3857625"/>
            <a:ext cx="1070045" cy="742950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 b="1">
              <a:solidFill>
                <a:schemeClr val="tx1"/>
              </a:solidFill>
              <a:effectLst/>
            </a:endParaRPr>
          </a:p>
        </xdr:txBody>
      </xdr:sp>
      <xdr:sp macro="" textlink="">
        <xdr:nvSpPr>
          <xdr:cNvPr id="907" name="Rectangle 906">
            <a:extLst>
              <a:ext uri="{FF2B5EF4-FFF2-40B4-BE49-F238E27FC236}">
                <a16:creationId xmlns:a16="http://schemas.microsoft.com/office/drawing/2014/main" id="{AB8379D9-94C7-5699-5494-00C1FF5C89FD}"/>
              </a:ext>
            </a:extLst>
          </xdr:cNvPr>
          <xdr:cNvSpPr/>
        </xdr:nvSpPr>
        <xdr:spPr>
          <a:xfrm>
            <a:off x="1997032" y="4282284"/>
            <a:ext cx="859936" cy="31179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4800" b="1">
                <a:latin typeface="Times New Roman" panose="02020603050405020304" pitchFamily="18" charset="0"/>
                <a:cs typeface="Times New Roman" panose="02020603050405020304" pitchFamily="18" charset="0"/>
              </a:rPr>
              <a:t>ZONE</a:t>
            </a:r>
            <a:r>
              <a:rPr lang="fr-FR" sz="48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D'ASSAMBLAGE</a:t>
            </a:r>
            <a:endParaRPr lang="fr-FR" sz="48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43</xdr:col>
      <xdr:colOff>13398500</xdr:colOff>
      <xdr:row>32</xdr:row>
      <xdr:rowOff>190500</xdr:rowOff>
    </xdr:from>
    <xdr:to>
      <xdr:col>46</xdr:col>
      <xdr:colOff>635000</xdr:colOff>
      <xdr:row>32</xdr:row>
      <xdr:rowOff>381000</xdr:rowOff>
    </xdr:to>
    <xdr:cxnSp macro="">
      <xdr:nvCxnSpPr>
        <xdr:cNvPr id="908" name="Straight Arrow Connector 527">
          <a:extLst>
            <a:ext uri="{FF2B5EF4-FFF2-40B4-BE49-F238E27FC236}">
              <a16:creationId xmlns:a16="http://schemas.microsoft.com/office/drawing/2014/main" id="{ED028822-B1C9-481A-8BAE-FDEEB4B7AC51}"/>
            </a:ext>
          </a:extLst>
        </xdr:cNvPr>
        <xdr:cNvCxnSpPr/>
      </xdr:nvCxnSpPr>
      <xdr:spPr>
        <a:xfrm>
          <a:off x="177990500" y="13017500"/>
          <a:ext cx="5651500" cy="190500"/>
        </a:xfrm>
        <a:prstGeom prst="straightConnector1">
          <a:avLst/>
        </a:prstGeom>
        <a:ln w="7620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1143000</xdr:colOff>
      <xdr:row>21</xdr:row>
      <xdr:rowOff>254000</xdr:rowOff>
    </xdr:from>
    <xdr:to>
      <xdr:col>47</xdr:col>
      <xdr:colOff>1533486</xdr:colOff>
      <xdr:row>26</xdr:row>
      <xdr:rowOff>36635</xdr:rowOff>
    </xdr:to>
    <xdr:grpSp>
      <xdr:nvGrpSpPr>
        <xdr:cNvPr id="933" name="Group 352">
          <a:extLst>
            <a:ext uri="{FF2B5EF4-FFF2-40B4-BE49-F238E27FC236}">
              <a16:creationId xmlns:a16="http://schemas.microsoft.com/office/drawing/2014/main" id="{CD5445DD-E6CB-4780-A048-20287D977369}"/>
            </a:ext>
          </a:extLst>
        </xdr:cNvPr>
        <xdr:cNvGrpSpPr/>
      </xdr:nvGrpSpPr>
      <xdr:grpSpPr>
        <a:xfrm>
          <a:off x="188518800" y="8331200"/>
          <a:ext cx="3819486" cy="2068635"/>
          <a:chOff x="4076700" y="20631150"/>
          <a:chExt cx="1743075" cy="1409700"/>
        </a:xfrm>
        <a:solidFill>
          <a:schemeClr val="accent3"/>
        </a:solidFill>
      </xdr:grpSpPr>
      <xdr:sp macro="" textlink="">
        <xdr:nvSpPr>
          <xdr:cNvPr id="934" name="Rectangle 933">
            <a:extLst>
              <a:ext uri="{FF2B5EF4-FFF2-40B4-BE49-F238E27FC236}">
                <a16:creationId xmlns:a16="http://schemas.microsoft.com/office/drawing/2014/main" id="{4FF5CD7B-6358-9E6C-58A0-7036A6227B5A}"/>
              </a:ext>
            </a:extLst>
          </xdr:cNvPr>
          <xdr:cNvSpPr/>
        </xdr:nvSpPr>
        <xdr:spPr>
          <a:xfrm>
            <a:off x="4076700" y="20631150"/>
            <a:ext cx="1743075" cy="1409700"/>
          </a:xfrm>
          <a:prstGeom prst="rect">
            <a:avLst/>
          </a:prstGeom>
          <a:grp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093" name="Picture 318">
            <a:extLst>
              <a:ext uri="{FF2B5EF4-FFF2-40B4-BE49-F238E27FC236}">
                <a16:creationId xmlns:a16="http://schemas.microsoft.com/office/drawing/2014/main" id="{73DCDF5F-E8AF-E4C2-C5DE-3C11B0FA7C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4257676" y="21108898"/>
            <a:ext cx="1000124" cy="789377"/>
          </a:xfrm>
          <a:prstGeom prst="rect">
            <a:avLst/>
          </a:prstGeom>
          <a:grpFill/>
          <a:ln>
            <a:noFill/>
          </a:ln>
        </xdr:spPr>
      </xdr:pic>
      <xdr:grpSp>
        <xdr:nvGrpSpPr>
          <xdr:cNvPr id="1094" name="Group 340">
            <a:extLst>
              <a:ext uri="{FF2B5EF4-FFF2-40B4-BE49-F238E27FC236}">
                <a16:creationId xmlns:a16="http://schemas.microsoft.com/office/drawing/2014/main" id="{333AEC46-D0D6-D55D-81E3-C800532759EC}"/>
              </a:ext>
            </a:extLst>
          </xdr:cNvPr>
          <xdr:cNvGrpSpPr/>
        </xdr:nvGrpSpPr>
        <xdr:grpSpPr>
          <a:xfrm>
            <a:off x="5324475" y="20726400"/>
            <a:ext cx="342900" cy="274451"/>
            <a:chOff x="5622718" y="2886022"/>
            <a:chExt cx="577311" cy="554751"/>
          </a:xfrm>
          <a:grpFill/>
        </xdr:grpSpPr>
        <xdr:sp macro="" textlink="">
          <xdr:nvSpPr>
            <xdr:cNvPr id="1095" name="Rectangle 80">
              <a:extLst>
                <a:ext uri="{FF2B5EF4-FFF2-40B4-BE49-F238E27FC236}">
                  <a16:creationId xmlns:a16="http://schemas.microsoft.com/office/drawing/2014/main" id="{A9E367D3-D753-B80C-1549-2A265476CD68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22718" y="2886022"/>
              <a:ext cx="577311" cy="554751"/>
            </a:xfrm>
            <a:prstGeom prst="roundRect">
              <a:avLst/>
            </a:prstGeom>
            <a:grpFill/>
            <a:ln w="28575" algn="ctr">
              <a:solidFill>
                <a:schemeClr val="tx1"/>
              </a:solidFill>
              <a:miter lim="800000"/>
              <a:headEnd/>
              <a:tailEnd/>
            </a:ln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Bef>
                  <a:spcPct val="0"/>
                </a:spcBef>
              </a:pPr>
              <a:endParaRPr lang="en-US" altLang="en-US" sz="1245">
                <a:latin typeface="Arial" panose="020B0604020202020204" pitchFamily="34" charset="0"/>
              </a:endParaRPr>
            </a:p>
          </xdr:txBody>
        </xdr:sp>
        <xdr:grpSp>
          <xdr:nvGrpSpPr>
            <xdr:cNvPr id="1096" name="Graphic 13">
              <a:extLst>
                <a:ext uri="{FF2B5EF4-FFF2-40B4-BE49-F238E27FC236}">
                  <a16:creationId xmlns:a16="http://schemas.microsoft.com/office/drawing/2014/main" id="{568CA0BC-8FC0-35E1-421A-C63428836E65}"/>
                </a:ext>
              </a:extLst>
            </xdr:cNvPr>
            <xdr:cNvGrpSpPr/>
          </xdr:nvGrpSpPr>
          <xdr:grpSpPr>
            <a:xfrm>
              <a:off x="5714234" y="2962446"/>
              <a:ext cx="394287" cy="394287"/>
              <a:chOff x="5774080" y="2944851"/>
              <a:chExt cx="312942" cy="312942"/>
            </a:xfrm>
            <a:grpFill/>
          </xdr:grpSpPr>
          <xdr:sp macro="" textlink="">
            <xdr:nvSpPr>
              <xdr:cNvPr id="1097" name="Freeform: Shape 343">
                <a:extLst>
                  <a:ext uri="{FF2B5EF4-FFF2-40B4-BE49-F238E27FC236}">
                    <a16:creationId xmlns:a16="http://schemas.microsoft.com/office/drawing/2014/main" id="{BF363423-2D44-57BE-2FB5-D011A346884E}"/>
                  </a:ext>
                </a:extLst>
              </xdr:cNvPr>
              <xdr:cNvSpPr/>
            </xdr:nvSpPr>
            <xdr:spPr>
              <a:xfrm>
                <a:off x="5778762" y="2949533"/>
                <a:ext cx="308260" cy="308260"/>
              </a:xfrm>
              <a:custGeom>
                <a:avLst/>
                <a:gdLst>
                  <a:gd name="connsiteX0" fmla="*/ 308260 w 308260"/>
                  <a:gd name="connsiteY0" fmla="*/ 154130 h 308260"/>
                  <a:gd name="connsiteX1" fmla="*/ 154130 w 308260"/>
                  <a:gd name="connsiteY1" fmla="*/ 308260 h 308260"/>
                  <a:gd name="connsiteX2" fmla="*/ 0 w 308260"/>
                  <a:gd name="connsiteY2" fmla="*/ 154130 h 308260"/>
                  <a:gd name="connsiteX3" fmla="*/ 154130 w 308260"/>
                  <a:gd name="connsiteY3" fmla="*/ 0 h 308260"/>
                  <a:gd name="connsiteX4" fmla="*/ 308260 w 308260"/>
                  <a:gd name="connsiteY4" fmla="*/ 154130 h 30826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308260" h="308260">
                    <a:moveTo>
                      <a:pt x="308260" y="154130"/>
                    </a:moveTo>
                    <a:cubicBezTo>
                      <a:pt x="308260" y="239254"/>
                      <a:pt x="239254" y="308260"/>
                      <a:pt x="154130" y="308260"/>
                    </a:cubicBezTo>
                    <a:cubicBezTo>
                      <a:pt x="69006" y="308260"/>
                      <a:pt x="0" y="239254"/>
                      <a:pt x="0" y="154130"/>
                    </a:cubicBezTo>
                    <a:cubicBezTo>
                      <a:pt x="0" y="69006"/>
                      <a:pt x="69006" y="0"/>
                      <a:pt x="154130" y="0"/>
                    </a:cubicBezTo>
                    <a:cubicBezTo>
                      <a:pt x="239254" y="0"/>
                      <a:pt x="308260" y="69006"/>
                      <a:pt x="308260" y="154130"/>
                    </a:cubicBezTo>
                    <a:close/>
                  </a:path>
                </a:pathLst>
              </a:custGeom>
              <a:grpFill/>
              <a:ln w="25400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grpSp>
            <xdr:nvGrpSpPr>
              <xdr:cNvPr id="1098" name="Graphic 13">
                <a:extLst>
                  <a:ext uri="{FF2B5EF4-FFF2-40B4-BE49-F238E27FC236}">
                    <a16:creationId xmlns:a16="http://schemas.microsoft.com/office/drawing/2014/main" id="{65341CEC-AB1A-AA7F-F041-F18A73E90604}"/>
                  </a:ext>
                </a:extLst>
              </xdr:cNvPr>
              <xdr:cNvGrpSpPr/>
            </xdr:nvGrpSpPr>
            <xdr:grpSpPr>
              <a:xfrm>
                <a:off x="5932893" y="2969607"/>
                <a:ext cx="3121" cy="268112"/>
                <a:chOff x="5932893" y="2969607"/>
                <a:chExt cx="3121" cy="268112"/>
              </a:xfrm>
              <a:grpFill/>
            </xdr:grpSpPr>
            <xdr:sp macro="" textlink="">
              <xdr:nvSpPr>
                <xdr:cNvPr id="1147" name="Freeform: Shape 350">
                  <a:extLst>
                    <a:ext uri="{FF2B5EF4-FFF2-40B4-BE49-F238E27FC236}">
                      <a16:creationId xmlns:a16="http://schemas.microsoft.com/office/drawing/2014/main" id="{C7AE0071-744B-88DB-848E-7167ABD3A21E}"/>
                    </a:ext>
                  </a:extLst>
                </xdr:cNvPr>
                <xdr:cNvSpPr/>
              </xdr:nvSpPr>
              <xdr:spPr>
                <a:xfrm>
                  <a:off x="5932893" y="2969607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1148" name="Freeform: Shape 351">
                  <a:extLst>
                    <a:ext uri="{FF2B5EF4-FFF2-40B4-BE49-F238E27FC236}">
                      <a16:creationId xmlns:a16="http://schemas.microsoft.com/office/drawing/2014/main" id="{59175907-038C-0CCA-9837-C3A3CCFEF288}"/>
                    </a:ext>
                  </a:extLst>
                </xdr:cNvPr>
                <xdr:cNvSpPr/>
              </xdr:nvSpPr>
              <xdr:spPr>
                <a:xfrm>
                  <a:off x="5932893" y="3210434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grpSp>
            <xdr:nvGrpSpPr>
              <xdr:cNvPr id="1099" name="Graphic 13">
                <a:extLst>
                  <a:ext uri="{FF2B5EF4-FFF2-40B4-BE49-F238E27FC236}">
                    <a16:creationId xmlns:a16="http://schemas.microsoft.com/office/drawing/2014/main" id="{4C2D0A40-697B-5C11-C9E1-3BE0399DED4E}"/>
                  </a:ext>
                </a:extLst>
              </xdr:cNvPr>
              <xdr:cNvGrpSpPr/>
            </xdr:nvGrpSpPr>
            <xdr:grpSpPr>
              <a:xfrm>
                <a:off x="5798836" y="3103664"/>
                <a:ext cx="268112" cy="3121"/>
                <a:chOff x="5798836" y="3103664"/>
                <a:chExt cx="268112" cy="3121"/>
              </a:xfrm>
              <a:grpFill/>
            </xdr:grpSpPr>
            <xdr:sp macro="" textlink="">
              <xdr:nvSpPr>
                <xdr:cNvPr id="1145" name="Freeform: Shape 348">
                  <a:extLst>
                    <a:ext uri="{FF2B5EF4-FFF2-40B4-BE49-F238E27FC236}">
                      <a16:creationId xmlns:a16="http://schemas.microsoft.com/office/drawing/2014/main" id="{344E7C49-B265-50B0-75AC-D6043E846A1C}"/>
                    </a:ext>
                  </a:extLst>
                </xdr:cNvPr>
                <xdr:cNvSpPr/>
              </xdr:nvSpPr>
              <xdr:spPr>
                <a:xfrm>
                  <a:off x="5798836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1146" name="Freeform: Shape 349">
                  <a:extLst>
                    <a:ext uri="{FF2B5EF4-FFF2-40B4-BE49-F238E27FC236}">
                      <a16:creationId xmlns:a16="http://schemas.microsoft.com/office/drawing/2014/main" id="{A10A642F-CA78-E6E2-F712-5FBED3C36A3F}"/>
                    </a:ext>
                  </a:extLst>
                </xdr:cNvPr>
                <xdr:cNvSpPr/>
              </xdr:nvSpPr>
              <xdr:spPr>
                <a:xfrm>
                  <a:off x="6039663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sp macro="" textlink="">
            <xdr:nvSpPr>
              <xdr:cNvPr id="1100" name="Freeform: Shape 346">
                <a:extLst>
                  <a:ext uri="{FF2B5EF4-FFF2-40B4-BE49-F238E27FC236}">
                    <a16:creationId xmlns:a16="http://schemas.microsoft.com/office/drawing/2014/main" id="{1C1A4195-4655-4A79-90CD-15C3C5BFB647}"/>
                  </a:ext>
                </a:extLst>
              </xdr:cNvPr>
              <xdr:cNvSpPr/>
            </xdr:nvSpPr>
            <xdr:spPr>
              <a:xfrm>
                <a:off x="5932893" y="3027957"/>
                <a:ext cx="63625" cy="82544"/>
              </a:xfrm>
              <a:custGeom>
                <a:avLst/>
                <a:gdLst>
                  <a:gd name="connsiteX0" fmla="*/ 0 w 63625"/>
                  <a:gd name="connsiteY0" fmla="*/ 0 h 82544"/>
                  <a:gd name="connsiteX1" fmla="*/ 0 w 63625"/>
                  <a:gd name="connsiteY1" fmla="*/ 82544 h 82544"/>
                  <a:gd name="connsiteX2" fmla="*/ 63625 w 63625"/>
                  <a:gd name="connsiteY2" fmla="*/ 58318 h 8254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63625" h="82544">
                    <a:moveTo>
                      <a:pt x="0" y="0"/>
                    </a:moveTo>
                    <a:lnTo>
                      <a:pt x="0" y="82544"/>
                    </a:lnTo>
                    <a:lnTo>
                      <a:pt x="63625" y="58318"/>
                    </a:lnTo>
                  </a:path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sp macro="" textlink="">
            <xdr:nvSpPr>
              <xdr:cNvPr id="1101" name="Freeform: Shape 347">
                <a:extLst>
                  <a:ext uri="{FF2B5EF4-FFF2-40B4-BE49-F238E27FC236}">
                    <a16:creationId xmlns:a16="http://schemas.microsoft.com/office/drawing/2014/main" id="{FEA57CD7-B8E4-61D6-141F-28F99652CC26}"/>
                  </a:ext>
                </a:extLst>
              </xdr:cNvPr>
              <xdr:cNvSpPr/>
            </xdr:nvSpPr>
            <xdr:spPr>
              <a:xfrm>
                <a:off x="5774080" y="2944851"/>
                <a:ext cx="3121" cy="3121"/>
              </a:xfrm>
              <a:custGeom>
                <a:avLst/>
                <a:gdLst/>
                <a:ahLst/>
                <a:cxnLst/>
                <a:rect l="l" t="t" r="r" b="b"/>
                <a:pathLst>
                  <a:path w="3121" h="3121"/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</xdr:grpSp>
      </xdr:grpSp>
    </xdr:grpSp>
    <xdr:clientData/>
  </xdr:twoCellAnchor>
  <xdr:twoCellAnchor>
    <xdr:from>
      <xdr:col>46</xdr:col>
      <xdr:colOff>1306493</xdr:colOff>
      <xdr:row>26</xdr:row>
      <xdr:rowOff>36635</xdr:rowOff>
    </xdr:from>
    <xdr:to>
      <xdr:col>47</xdr:col>
      <xdr:colOff>139505</xdr:colOff>
      <xdr:row>28</xdr:row>
      <xdr:rowOff>317500</xdr:rowOff>
    </xdr:to>
    <xdr:cxnSp macro="">
      <xdr:nvCxnSpPr>
        <xdr:cNvPr id="1153" name="Straight Arrow Connector 527">
          <a:extLst>
            <a:ext uri="{FF2B5EF4-FFF2-40B4-BE49-F238E27FC236}">
              <a16:creationId xmlns:a16="http://schemas.microsoft.com/office/drawing/2014/main" id="{CCBD8151-FF1F-4724-8E7A-40DED446E9AA}"/>
            </a:ext>
          </a:extLst>
        </xdr:cNvPr>
        <xdr:cNvCxnSpPr>
          <a:stCxn id="891" idx="0"/>
          <a:endCxn id="934" idx="2"/>
        </xdr:cNvCxnSpPr>
      </xdr:nvCxnSpPr>
      <xdr:spPr>
        <a:xfrm flipH="1" flipV="1">
          <a:off x="184313493" y="10196635"/>
          <a:ext cx="484012" cy="1169865"/>
        </a:xfrm>
        <a:prstGeom prst="straightConnector1">
          <a:avLst/>
        </a:prstGeom>
        <a:ln w="7620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295211</xdr:colOff>
      <xdr:row>15</xdr:row>
      <xdr:rowOff>430102</xdr:rowOff>
    </xdr:from>
    <xdr:to>
      <xdr:col>11</xdr:col>
      <xdr:colOff>551792</xdr:colOff>
      <xdr:row>19</xdr:row>
      <xdr:rowOff>420414</xdr:rowOff>
    </xdr:to>
    <xdr:sp macro="" textlink="">
      <xdr:nvSpPr>
        <xdr:cNvPr id="1168" name="Arrow: Right 167">
          <a:extLst>
            <a:ext uri="{FF2B5EF4-FFF2-40B4-BE49-F238E27FC236}">
              <a16:creationId xmlns:a16="http://schemas.microsoft.com/office/drawing/2014/main" id="{131A4501-F7DC-4650-989F-43050EE9A5A8}"/>
            </a:ext>
          </a:extLst>
        </xdr:cNvPr>
        <xdr:cNvSpPr/>
      </xdr:nvSpPr>
      <xdr:spPr>
        <a:xfrm rot="5400000">
          <a:off x="9651173" y="6445519"/>
          <a:ext cx="1777071" cy="256581"/>
        </a:xfrm>
        <a:prstGeom prst="rightArrow">
          <a:avLst/>
        </a:prstGeom>
        <a:solidFill>
          <a:schemeClr val="bg1"/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46</xdr:col>
      <xdr:colOff>698503</xdr:colOff>
      <xdr:row>16</xdr:row>
      <xdr:rowOff>21072</xdr:rowOff>
    </xdr:from>
    <xdr:to>
      <xdr:col>46</xdr:col>
      <xdr:colOff>1188495</xdr:colOff>
      <xdr:row>21</xdr:row>
      <xdr:rowOff>63499</xdr:rowOff>
    </xdr:to>
    <xdr:sp macro="" textlink="">
      <xdr:nvSpPr>
        <xdr:cNvPr id="1169" name="Arrow: Right 167">
          <a:extLst>
            <a:ext uri="{FF2B5EF4-FFF2-40B4-BE49-F238E27FC236}">
              <a16:creationId xmlns:a16="http://schemas.microsoft.com/office/drawing/2014/main" id="{F47467B3-6E63-4BE5-AF24-97DD02B4E9A9}"/>
            </a:ext>
          </a:extLst>
        </xdr:cNvPr>
        <xdr:cNvSpPr/>
      </xdr:nvSpPr>
      <xdr:spPr>
        <a:xfrm rot="16200000">
          <a:off x="182818035" y="6623540"/>
          <a:ext cx="2264927" cy="489992"/>
        </a:xfrm>
        <a:prstGeom prst="rightArrow">
          <a:avLst/>
        </a:prstGeom>
        <a:solidFill>
          <a:schemeClr val="bg1"/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1674915</xdr:colOff>
      <xdr:row>8</xdr:row>
      <xdr:rowOff>209467</xdr:rowOff>
    </xdr:from>
    <xdr:to>
      <xdr:col>32</xdr:col>
      <xdr:colOff>392038</xdr:colOff>
      <xdr:row>11</xdr:row>
      <xdr:rowOff>336467</xdr:rowOff>
    </xdr:to>
    <xdr:sp macro="" textlink="">
      <xdr:nvSpPr>
        <xdr:cNvPr id="1176" name="Rectangle 1175">
          <a:extLst>
            <a:ext uri="{FF2B5EF4-FFF2-40B4-BE49-F238E27FC236}">
              <a16:creationId xmlns:a16="http://schemas.microsoft.com/office/drawing/2014/main" id="{77635B25-DD7D-680E-AD9C-F48039503E34}"/>
            </a:ext>
          </a:extLst>
        </xdr:cNvPr>
        <xdr:cNvSpPr/>
      </xdr:nvSpPr>
      <xdr:spPr>
        <a:xfrm>
          <a:off x="54742772" y="2277753"/>
          <a:ext cx="5411837" cy="143328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7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Logistique</a:t>
          </a:r>
        </a:p>
      </xdr:txBody>
    </xdr:sp>
    <xdr:clientData/>
  </xdr:twoCellAnchor>
  <xdr:twoCellAnchor>
    <xdr:from>
      <xdr:col>13</xdr:col>
      <xdr:colOff>1619250</xdr:colOff>
      <xdr:row>10</xdr:row>
      <xdr:rowOff>54428</xdr:rowOff>
    </xdr:from>
    <xdr:to>
      <xdr:col>29</xdr:col>
      <xdr:colOff>1796143</xdr:colOff>
      <xdr:row>12</xdr:row>
      <xdr:rowOff>333375</xdr:rowOff>
    </xdr:to>
    <xdr:cxnSp macro="">
      <xdr:nvCxnSpPr>
        <xdr:cNvPr id="1180" name="Connecteur : en arc 1179">
          <a:extLst>
            <a:ext uri="{FF2B5EF4-FFF2-40B4-BE49-F238E27FC236}">
              <a16:creationId xmlns:a16="http://schemas.microsoft.com/office/drawing/2014/main" id="{BB66428F-E5DD-4B77-403C-EDEE97E61831}"/>
            </a:ext>
          </a:extLst>
        </xdr:cNvPr>
        <xdr:cNvCxnSpPr/>
      </xdr:nvCxnSpPr>
      <xdr:spPr>
        <a:xfrm flipV="1">
          <a:off x="14525625" y="2959553"/>
          <a:ext cx="61946518" cy="1136197"/>
        </a:xfrm>
        <a:prstGeom prst="curvedConnector3">
          <a:avLst>
            <a:gd name="adj1" fmla="val 31010"/>
          </a:avLst>
        </a:prstGeom>
        <a:ln w="5715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18144</xdr:colOff>
      <xdr:row>9</xdr:row>
      <xdr:rowOff>432392</xdr:rowOff>
    </xdr:from>
    <xdr:to>
      <xdr:col>20</xdr:col>
      <xdr:colOff>3477889</xdr:colOff>
      <xdr:row>12</xdr:row>
      <xdr:rowOff>411704</xdr:rowOff>
    </xdr:to>
    <xdr:sp macro="" textlink="">
      <xdr:nvSpPr>
        <xdr:cNvPr id="1175" name="Rectangle 1174">
          <a:extLst>
            <a:ext uri="{FF2B5EF4-FFF2-40B4-BE49-F238E27FC236}">
              <a16:creationId xmlns:a16="http://schemas.microsoft.com/office/drawing/2014/main" id="{1F35B183-2487-4376-844B-6CF66A13333A}"/>
            </a:ext>
          </a:extLst>
        </xdr:cNvPr>
        <xdr:cNvSpPr/>
      </xdr:nvSpPr>
      <xdr:spPr>
        <a:xfrm>
          <a:off x="23204715" y="2936106"/>
          <a:ext cx="5528031" cy="128559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5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Commandes</a:t>
          </a:r>
        </a:p>
      </xdr:txBody>
    </xdr:sp>
    <xdr:clientData/>
  </xdr:twoCellAnchor>
  <xdr:twoCellAnchor>
    <xdr:from>
      <xdr:col>32</xdr:col>
      <xdr:colOff>392038</xdr:colOff>
      <xdr:row>10</xdr:row>
      <xdr:rowOff>50717</xdr:rowOff>
    </xdr:from>
    <xdr:to>
      <xdr:col>43</xdr:col>
      <xdr:colOff>11244942</xdr:colOff>
      <xdr:row>12</xdr:row>
      <xdr:rowOff>71040</xdr:rowOff>
    </xdr:to>
    <xdr:cxnSp macro="">
      <xdr:nvCxnSpPr>
        <xdr:cNvPr id="1183" name="Connecteur : en arc 1182">
          <a:extLst>
            <a:ext uri="{FF2B5EF4-FFF2-40B4-BE49-F238E27FC236}">
              <a16:creationId xmlns:a16="http://schemas.microsoft.com/office/drawing/2014/main" id="{19F55391-ABE8-4AC3-93C9-1F602FB223B9}"/>
            </a:ext>
          </a:extLst>
        </xdr:cNvPr>
        <xdr:cNvCxnSpPr>
          <a:stCxn id="1176" idx="3"/>
          <a:endCxn id="906" idx="7"/>
        </xdr:cNvCxnSpPr>
      </xdr:nvCxnSpPr>
      <xdr:spPr>
        <a:xfrm>
          <a:off x="105230538" y="3098717"/>
          <a:ext cx="76194404" cy="909323"/>
        </a:xfrm>
        <a:prstGeom prst="curvedConnector5">
          <a:avLst>
            <a:gd name="adj1" fmla="val 49883"/>
            <a:gd name="adj2" fmla="val 88832"/>
            <a:gd name="adj3" fmla="val 74381"/>
          </a:avLst>
        </a:prstGeom>
        <a:ln w="5715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9848274</xdr:colOff>
      <xdr:row>9</xdr:row>
      <xdr:rowOff>364704</xdr:rowOff>
    </xdr:from>
    <xdr:to>
      <xdr:col>41</xdr:col>
      <xdr:colOff>4036786</xdr:colOff>
      <xdr:row>14</xdr:row>
      <xdr:rowOff>172356</xdr:rowOff>
    </xdr:to>
    <xdr:sp macro="" textlink="">
      <xdr:nvSpPr>
        <xdr:cNvPr id="1170" name="Rectangle 1169">
          <a:extLst>
            <a:ext uri="{FF2B5EF4-FFF2-40B4-BE49-F238E27FC236}">
              <a16:creationId xmlns:a16="http://schemas.microsoft.com/office/drawing/2014/main" id="{FF104A12-01B2-D04E-DAFE-66B386AA56C2}"/>
            </a:ext>
          </a:extLst>
        </xdr:cNvPr>
        <xdr:cNvSpPr/>
      </xdr:nvSpPr>
      <xdr:spPr>
        <a:xfrm>
          <a:off x="158438274" y="2968204"/>
          <a:ext cx="5745512" cy="2030152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5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Commandes production</a:t>
          </a:r>
        </a:p>
      </xdr:txBody>
    </xdr:sp>
    <xdr:clientData/>
  </xdr:twoCellAnchor>
  <xdr:twoCellAnchor>
    <xdr:from>
      <xdr:col>10</xdr:col>
      <xdr:colOff>0</xdr:colOff>
      <xdr:row>70</xdr:row>
      <xdr:rowOff>76200</xdr:rowOff>
    </xdr:from>
    <xdr:to>
      <xdr:col>14</xdr:col>
      <xdr:colOff>694675</xdr:colOff>
      <xdr:row>75</xdr:row>
      <xdr:rowOff>228978</xdr:rowOff>
    </xdr:to>
    <xdr:grpSp>
      <xdr:nvGrpSpPr>
        <xdr:cNvPr id="233" name="Group 23">
          <a:extLst>
            <a:ext uri="{FF2B5EF4-FFF2-40B4-BE49-F238E27FC236}">
              <a16:creationId xmlns:a16="http://schemas.microsoft.com/office/drawing/2014/main" id="{1E97792A-613B-494F-86A2-6C08D7C64369}"/>
            </a:ext>
          </a:extLst>
        </xdr:cNvPr>
        <xdr:cNvGrpSpPr/>
      </xdr:nvGrpSpPr>
      <xdr:grpSpPr>
        <a:xfrm>
          <a:off x="9601200" y="40005000"/>
          <a:ext cx="8162275" cy="2438778"/>
          <a:chOff x="1863655" y="3857625"/>
          <a:chExt cx="1070045" cy="742950"/>
        </a:xfrm>
        <a:solidFill>
          <a:schemeClr val="accent1">
            <a:lumMod val="40000"/>
            <a:lumOff val="60000"/>
          </a:schemeClr>
        </a:solidFill>
      </xdr:grpSpPr>
      <xdr:sp macro="" textlink="">
        <xdr:nvSpPr>
          <xdr:cNvPr id="234" name="Freeform: Shape 18">
            <a:extLst>
              <a:ext uri="{FF2B5EF4-FFF2-40B4-BE49-F238E27FC236}">
                <a16:creationId xmlns:a16="http://schemas.microsoft.com/office/drawing/2014/main" id="{D4B248DA-2A9F-A9D3-19D7-9DCCA563E35B}"/>
              </a:ext>
            </a:extLst>
          </xdr:cNvPr>
          <xdr:cNvSpPr/>
        </xdr:nvSpPr>
        <xdr:spPr>
          <a:xfrm>
            <a:off x="1863655" y="3857625"/>
            <a:ext cx="1070045" cy="742950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 b="1">
              <a:solidFill>
                <a:schemeClr val="tx1"/>
              </a:solidFill>
              <a:effectLst/>
            </a:endParaRPr>
          </a:p>
        </xdr:txBody>
      </xdr:sp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C006AF28-BFF0-5E00-1EA9-91087E7C0650}"/>
              </a:ext>
            </a:extLst>
          </xdr:cNvPr>
          <xdr:cNvSpPr/>
        </xdr:nvSpPr>
        <xdr:spPr>
          <a:xfrm>
            <a:off x="2038350" y="4267201"/>
            <a:ext cx="695325" cy="27622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600" b="1">
                <a:latin typeface="Times New Roman" panose="02020603050405020304" pitchFamily="18" charset="0"/>
                <a:cs typeface="Times New Roman" panose="02020603050405020304" pitchFamily="18" charset="0"/>
              </a:rPr>
              <a:t>FOURNISSEURS</a:t>
            </a:r>
          </a:p>
        </xdr:txBody>
      </xdr:sp>
    </xdr:grpSp>
    <xdr:clientData/>
  </xdr:twoCellAnchor>
  <xdr:twoCellAnchor>
    <xdr:from>
      <xdr:col>12</xdr:col>
      <xdr:colOff>468923</xdr:colOff>
      <xdr:row>81</xdr:row>
      <xdr:rowOff>351693</xdr:rowOff>
    </xdr:from>
    <xdr:to>
      <xdr:col>13</xdr:col>
      <xdr:colOff>1934308</xdr:colOff>
      <xdr:row>87</xdr:row>
      <xdr:rowOff>0</xdr:rowOff>
    </xdr:to>
    <xdr:grpSp>
      <xdr:nvGrpSpPr>
        <xdr:cNvPr id="236" name="Group 352">
          <a:extLst>
            <a:ext uri="{FF2B5EF4-FFF2-40B4-BE49-F238E27FC236}">
              <a16:creationId xmlns:a16="http://schemas.microsoft.com/office/drawing/2014/main" id="{8A78D31C-53D7-42D7-AC99-35339C56D0C0}"/>
            </a:ext>
          </a:extLst>
        </xdr:cNvPr>
        <xdr:cNvGrpSpPr/>
      </xdr:nvGrpSpPr>
      <xdr:grpSpPr>
        <a:xfrm>
          <a:off x="11898923" y="45309693"/>
          <a:ext cx="3446585" cy="2391507"/>
          <a:chOff x="4076700" y="20631150"/>
          <a:chExt cx="1743075" cy="1409700"/>
        </a:xfrm>
        <a:solidFill>
          <a:schemeClr val="accent3"/>
        </a:solidFill>
      </xdr:grpSpPr>
      <xdr:sp macro="" textlink="">
        <xdr:nvSpPr>
          <xdr:cNvPr id="299" name="Rectangle 298">
            <a:extLst>
              <a:ext uri="{FF2B5EF4-FFF2-40B4-BE49-F238E27FC236}">
                <a16:creationId xmlns:a16="http://schemas.microsoft.com/office/drawing/2014/main" id="{831CAEE9-4D93-585F-1DD7-9A9146FFA9D6}"/>
              </a:ext>
            </a:extLst>
          </xdr:cNvPr>
          <xdr:cNvSpPr/>
        </xdr:nvSpPr>
        <xdr:spPr>
          <a:xfrm>
            <a:off x="4076700" y="20631150"/>
            <a:ext cx="1743075" cy="1409700"/>
          </a:xfrm>
          <a:prstGeom prst="rect">
            <a:avLst/>
          </a:prstGeom>
          <a:grp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313" name="Picture 318">
            <a:extLst>
              <a:ext uri="{FF2B5EF4-FFF2-40B4-BE49-F238E27FC236}">
                <a16:creationId xmlns:a16="http://schemas.microsoft.com/office/drawing/2014/main" id="{12A2BB61-0CEB-BC9A-D33F-DBCCEDA021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4257676" y="21108898"/>
            <a:ext cx="1000124" cy="789377"/>
          </a:xfrm>
          <a:prstGeom prst="rect">
            <a:avLst/>
          </a:prstGeom>
          <a:grpFill/>
          <a:ln>
            <a:noFill/>
          </a:ln>
        </xdr:spPr>
      </xdr:pic>
      <xdr:grpSp>
        <xdr:nvGrpSpPr>
          <xdr:cNvPr id="314" name="Group 340">
            <a:extLst>
              <a:ext uri="{FF2B5EF4-FFF2-40B4-BE49-F238E27FC236}">
                <a16:creationId xmlns:a16="http://schemas.microsoft.com/office/drawing/2014/main" id="{F919D7E5-0DF1-1E35-B176-8530FE21FAA8}"/>
              </a:ext>
            </a:extLst>
          </xdr:cNvPr>
          <xdr:cNvGrpSpPr/>
        </xdr:nvGrpSpPr>
        <xdr:grpSpPr>
          <a:xfrm>
            <a:off x="5324475" y="20726400"/>
            <a:ext cx="342900" cy="274451"/>
            <a:chOff x="5622718" y="2886022"/>
            <a:chExt cx="577311" cy="554751"/>
          </a:xfrm>
          <a:grpFill/>
        </xdr:grpSpPr>
        <xdr:sp macro="" textlink="">
          <xdr:nvSpPr>
            <xdr:cNvPr id="315" name="Rectangle 80">
              <a:extLst>
                <a:ext uri="{FF2B5EF4-FFF2-40B4-BE49-F238E27FC236}">
                  <a16:creationId xmlns:a16="http://schemas.microsoft.com/office/drawing/2014/main" id="{E89F0FF4-B7F0-6DEE-32C3-B8F5535479A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22718" y="2886022"/>
              <a:ext cx="577311" cy="554751"/>
            </a:xfrm>
            <a:prstGeom prst="roundRect">
              <a:avLst/>
            </a:prstGeom>
            <a:grpFill/>
            <a:ln w="28575" algn="ctr">
              <a:solidFill>
                <a:schemeClr val="tx1"/>
              </a:solidFill>
              <a:miter lim="800000"/>
              <a:headEnd/>
              <a:tailEnd/>
            </a:ln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Bef>
                  <a:spcPct val="0"/>
                </a:spcBef>
              </a:pPr>
              <a:endParaRPr lang="en-US" altLang="en-US" sz="1245">
                <a:latin typeface="Arial" panose="020B0604020202020204" pitchFamily="34" charset="0"/>
              </a:endParaRPr>
            </a:p>
          </xdr:txBody>
        </xdr:sp>
        <xdr:grpSp>
          <xdr:nvGrpSpPr>
            <xdr:cNvPr id="331" name="Graphic 13">
              <a:extLst>
                <a:ext uri="{FF2B5EF4-FFF2-40B4-BE49-F238E27FC236}">
                  <a16:creationId xmlns:a16="http://schemas.microsoft.com/office/drawing/2014/main" id="{FA96A85B-00F8-82C0-242C-E5EBC1EB670F}"/>
                </a:ext>
              </a:extLst>
            </xdr:cNvPr>
            <xdr:cNvGrpSpPr/>
          </xdr:nvGrpSpPr>
          <xdr:grpSpPr>
            <a:xfrm>
              <a:off x="5714234" y="2962446"/>
              <a:ext cx="394287" cy="394287"/>
              <a:chOff x="5774080" y="2944851"/>
              <a:chExt cx="312942" cy="312942"/>
            </a:xfrm>
            <a:grpFill/>
          </xdr:grpSpPr>
          <xdr:sp macro="" textlink="">
            <xdr:nvSpPr>
              <xdr:cNvPr id="332" name="Freeform: Shape 343">
                <a:extLst>
                  <a:ext uri="{FF2B5EF4-FFF2-40B4-BE49-F238E27FC236}">
                    <a16:creationId xmlns:a16="http://schemas.microsoft.com/office/drawing/2014/main" id="{32221603-6884-F85B-318C-0E24397EF191}"/>
                  </a:ext>
                </a:extLst>
              </xdr:cNvPr>
              <xdr:cNvSpPr/>
            </xdr:nvSpPr>
            <xdr:spPr>
              <a:xfrm>
                <a:off x="5778762" y="2949533"/>
                <a:ext cx="308260" cy="308260"/>
              </a:xfrm>
              <a:custGeom>
                <a:avLst/>
                <a:gdLst>
                  <a:gd name="connsiteX0" fmla="*/ 308260 w 308260"/>
                  <a:gd name="connsiteY0" fmla="*/ 154130 h 308260"/>
                  <a:gd name="connsiteX1" fmla="*/ 154130 w 308260"/>
                  <a:gd name="connsiteY1" fmla="*/ 308260 h 308260"/>
                  <a:gd name="connsiteX2" fmla="*/ 0 w 308260"/>
                  <a:gd name="connsiteY2" fmla="*/ 154130 h 308260"/>
                  <a:gd name="connsiteX3" fmla="*/ 154130 w 308260"/>
                  <a:gd name="connsiteY3" fmla="*/ 0 h 308260"/>
                  <a:gd name="connsiteX4" fmla="*/ 308260 w 308260"/>
                  <a:gd name="connsiteY4" fmla="*/ 154130 h 30826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308260" h="308260">
                    <a:moveTo>
                      <a:pt x="308260" y="154130"/>
                    </a:moveTo>
                    <a:cubicBezTo>
                      <a:pt x="308260" y="239254"/>
                      <a:pt x="239254" y="308260"/>
                      <a:pt x="154130" y="308260"/>
                    </a:cubicBezTo>
                    <a:cubicBezTo>
                      <a:pt x="69006" y="308260"/>
                      <a:pt x="0" y="239254"/>
                      <a:pt x="0" y="154130"/>
                    </a:cubicBezTo>
                    <a:cubicBezTo>
                      <a:pt x="0" y="69006"/>
                      <a:pt x="69006" y="0"/>
                      <a:pt x="154130" y="0"/>
                    </a:cubicBezTo>
                    <a:cubicBezTo>
                      <a:pt x="239254" y="0"/>
                      <a:pt x="308260" y="69006"/>
                      <a:pt x="308260" y="154130"/>
                    </a:cubicBezTo>
                    <a:close/>
                  </a:path>
                </a:pathLst>
              </a:custGeom>
              <a:grpFill/>
              <a:ln w="25400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grpSp>
            <xdr:nvGrpSpPr>
              <xdr:cNvPr id="333" name="Graphic 13">
                <a:extLst>
                  <a:ext uri="{FF2B5EF4-FFF2-40B4-BE49-F238E27FC236}">
                    <a16:creationId xmlns:a16="http://schemas.microsoft.com/office/drawing/2014/main" id="{4109A0F4-E00F-AA31-B44E-962E895F7325}"/>
                  </a:ext>
                </a:extLst>
              </xdr:cNvPr>
              <xdr:cNvGrpSpPr/>
            </xdr:nvGrpSpPr>
            <xdr:grpSpPr>
              <a:xfrm>
                <a:off x="5932893" y="2969607"/>
                <a:ext cx="3121" cy="268112"/>
                <a:chOff x="5932893" y="2969607"/>
                <a:chExt cx="3121" cy="268112"/>
              </a:xfrm>
              <a:grpFill/>
            </xdr:grpSpPr>
            <xdr:sp macro="" textlink="">
              <xdr:nvSpPr>
                <xdr:cNvPr id="396" name="Freeform: Shape 350">
                  <a:extLst>
                    <a:ext uri="{FF2B5EF4-FFF2-40B4-BE49-F238E27FC236}">
                      <a16:creationId xmlns:a16="http://schemas.microsoft.com/office/drawing/2014/main" id="{3D1FA986-FFD4-7EB3-65AF-0C6D6F8F21A0}"/>
                    </a:ext>
                  </a:extLst>
                </xdr:cNvPr>
                <xdr:cNvSpPr/>
              </xdr:nvSpPr>
              <xdr:spPr>
                <a:xfrm>
                  <a:off x="5932893" y="2969607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397" name="Freeform: Shape 351">
                  <a:extLst>
                    <a:ext uri="{FF2B5EF4-FFF2-40B4-BE49-F238E27FC236}">
                      <a16:creationId xmlns:a16="http://schemas.microsoft.com/office/drawing/2014/main" id="{E3FB4FF6-D678-9082-D612-5DB8254BD86B}"/>
                    </a:ext>
                  </a:extLst>
                </xdr:cNvPr>
                <xdr:cNvSpPr/>
              </xdr:nvSpPr>
              <xdr:spPr>
                <a:xfrm>
                  <a:off x="5932893" y="3210434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grpSp>
            <xdr:nvGrpSpPr>
              <xdr:cNvPr id="334" name="Graphic 13">
                <a:extLst>
                  <a:ext uri="{FF2B5EF4-FFF2-40B4-BE49-F238E27FC236}">
                    <a16:creationId xmlns:a16="http://schemas.microsoft.com/office/drawing/2014/main" id="{EFFCBEEE-5087-A507-4BB0-D6CDE3E41855}"/>
                  </a:ext>
                </a:extLst>
              </xdr:cNvPr>
              <xdr:cNvGrpSpPr/>
            </xdr:nvGrpSpPr>
            <xdr:grpSpPr>
              <a:xfrm>
                <a:off x="5798836" y="3103664"/>
                <a:ext cx="268112" cy="3121"/>
                <a:chOff x="5798836" y="3103664"/>
                <a:chExt cx="268112" cy="3121"/>
              </a:xfrm>
              <a:grpFill/>
            </xdr:grpSpPr>
            <xdr:sp macro="" textlink="">
              <xdr:nvSpPr>
                <xdr:cNvPr id="392" name="Freeform: Shape 348">
                  <a:extLst>
                    <a:ext uri="{FF2B5EF4-FFF2-40B4-BE49-F238E27FC236}">
                      <a16:creationId xmlns:a16="http://schemas.microsoft.com/office/drawing/2014/main" id="{9062602B-A7B4-1F85-5439-14C5CF8F5A07}"/>
                    </a:ext>
                  </a:extLst>
                </xdr:cNvPr>
                <xdr:cNvSpPr/>
              </xdr:nvSpPr>
              <xdr:spPr>
                <a:xfrm>
                  <a:off x="5798836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395" name="Freeform: Shape 349">
                  <a:extLst>
                    <a:ext uri="{FF2B5EF4-FFF2-40B4-BE49-F238E27FC236}">
                      <a16:creationId xmlns:a16="http://schemas.microsoft.com/office/drawing/2014/main" id="{0F853EDD-10A5-3B7E-2155-385D1E5CA8E8}"/>
                    </a:ext>
                  </a:extLst>
                </xdr:cNvPr>
                <xdr:cNvSpPr/>
              </xdr:nvSpPr>
              <xdr:spPr>
                <a:xfrm>
                  <a:off x="6039663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sp macro="" textlink="">
            <xdr:nvSpPr>
              <xdr:cNvPr id="335" name="Freeform: Shape 346">
                <a:extLst>
                  <a:ext uri="{FF2B5EF4-FFF2-40B4-BE49-F238E27FC236}">
                    <a16:creationId xmlns:a16="http://schemas.microsoft.com/office/drawing/2014/main" id="{296A3118-81C7-6596-F8DF-9B087317D450}"/>
                  </a:ext>
                </a:extLst>
              </xdr:cNvPr>
              <xdr:cNvSpPr/>
            </xdr:nvSpPr>
            <xdr:spPr>
              <a:xfrm>
                <a:off x="5932893" y="3027957"/>
                <a:ext cx="63625" cy="82544"/>
              </a:xfrm>
              <a:custGeom>
                <a:avLst/>
                <a:gdLst>
                  <a:gd name="connsiteX0" fmla="*/ 0 w 63625"/>
                  <a:gd name="connsiteY0" fmla="*/ 0 h 82544"/>
                  <a:gd name="connsiteX1" fmla="*/ 0 w 63625"/>
                  <a:gd name="connsiteY1" fmla="*/ 82544 h 82544"/>
                  <a:gd name="connsiteX2" fmla="*/ 63625 w 63625"/>
                  <a:gd name="connsiteY2" fmla="*/ 58318 h 8254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63625" h="82544">
                    <a:moveTo>
                      <a:pt x="0" y="0"/>
                    </a:moveTo>
                    <a:lnTo>
                      <a:pt x="0" y="82544"/>
                    </a:lnTo>
                    <a:lnTo>
                      <a:pt x="63625" y="58318"/>
                    </a:lnTo>
                  </a:path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sp macro="" textlink="">
            <xdr:nvSpPr>
              <xdr:cNvPr id="356" name="Freeform: Shape 347">
                <a:extLst>
                  <a:ext uri="{FF2B5EF4-FFF2-40B4-BE49-F238E27FC236}">
                    <a16:creationId xmlns:a16="http://schemas.microsoft.com/office/drawing/2014/main" id="{FEBD9FF2-7169-A7F6-9B3E-4FD553B49271}"/>
                  </a:ext>
                </a:extLst>
              </xdr:cNvPr>
              <xdr:cNvSpPr/>
            </xdr:nvSpPr>
            <xdr:spPr>
              <a:xfrm>
                <a:off x="5774080" y="2944851"/>
                <a:ext cx="3121" cy="3121"/>
              </a:xfrm>
              <a:custGeom>
                <a:avLst/>
                <a:gdLst/>
                <a:ahLst/>
                <a:cxnLst/>
                <a:rect l="l" t="t" r="r" b="b"/>
                <a:pathLst>
                  <a:path w="3121" h="3121"/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</xdr:grpSp>
      </xdr:grpSp>
    </xdr:grpSp>
    <xdr:clientData/>
  </xdr:twoCellAnchor>
  <xdr:twoCellAnchor>
    <xdr:from>
      <xdr:col>13</xdr:col>
      <xdr:colOff>2819400</xdr:colOff>
      <xdr:row>93</xdr:row>
      <xdr:rowOff>342930</xdr:rowOff>
    </xdr:from>
    <xdr:to>
      <xdr:col>14</xdr:col>
      <xdr:colOff>2017317</xdr:colOff>
      <xdr:row>100</xdr:row>
      <xdr:rowOff>152400</xdr:rowOff>
    </xdr:to>
    <xdr:grpSp>
      <xdr:nvGrpSpPr>
        <xdr:cNvPr id="398" name="Group 252">
          <a:extLst>
            <a:ext uri="{FF2B5EF4-FFF2-40B4-BE49-F238E27FC236}">
              <a16:creationId xmlns:a16="http://schemas.microsoft.com/office/drawing/2014/main" id="{1BD02CCF-8670-45B8-A753-FB574CE3D7BF}"/>
            </a:ext>
          </a:extLst>
        </xdr:cNvPr>
        <xdr:cNvGrpSpPr/>
      </xdr:nvGrpSpPr>
      <xdr:grpSpPr>
        <a:xfrm>
          <a:off x="16230600" y="50787330"/>
          <a:ext cx="2855517" cy="4076670"/>
          <a:chOff x="4152900" y="18545175"/>
          <a:chExt cx="1743075" cy="1409700"/>
        </a:xfrm>
      </xdr:grpSpPr>
      <xdr:sp macro="" textlink="">
        <xdr:nvSpPr>
          <xdr:cNvPr id="525" name="Rectangle 524">
            <a:extLst>
              <a:ext uri="{FF2B5EF4-FFF2-40B4-BE49-F238E27FC236}">
                <a16:creationId xmlns:a16="http://schemas.microsoft.com/office/drawing/2014/main" id="{26B7A103-83B1-CAD9-4B0B-7C7A70045362}"/>
              </a:ext>
            </a:extLst>
          </xdr:cNvPr>
          <xdr:cNvSpPr/>
        </xdr:nvSpPr>
        <xdr:spPr>
          <a:xfrm>
            <a:off x="4152900" y="1854517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526" name="Group 251">
            <a:extLst>
              <a:ext uri="{FF2B5EF4-FFF2-40B4-BE49-F238E27FC236}">
                <a16:creationId xmlns:a16="http://schemas.microsoft.com/office/drawing/2014/main" id="{28D67D70-7FFF-7D5E-A794-87062A0BCCF2}"/>
              </a:ext>
            </a:extLst>
          </xdr:cNvPr>
          <xdr:cNvGrpSpPr/>
        </xdr:nvGrpSpPr>
        <xdr:grpSpPr>
          <a:xfrm>
            <a:off x="4848224" y="18735676"/>
            <a:ext cx="381001" cy="1066799"/>
            <a:chOff x="4867274" y="18630901"/>
            <a:chExt cx="381001" cy="1066799"/>
          </a:xfrm>
        </xdr:grpSpPr>
        <xdr:grpSp>
          <xdr:nvGrpSpPr>
            <xdr:cNvPr id="527" name="Group 248">
              <a:extLst>
                <a:ext uri="{FF2B5EF4-FFF2-40B4-BE49-F238E27FC236}">
                  <a16:creationId xmlns:a16="http://schemas.microsoft.com/office/drawing/2014/main" id="{E116AFEE-B86F-3251-1EB0-F87EA16039D1}"/>
                </a:ext>
              </a:extLst>
            </xdr:cNvPr>
            <xdr:cNvGrpSpPr/>
          </xdr:nvGrpSpPr>
          <xdr:grpSpPr>
            <a:xfrm>
              <a:off x="4867275" y="18630901"/>
              <a:ext cx="380999" cy="800100"/>
              <a:chOff x="4933950" y="18811876"/>
              <a:chExt cx="380999" cy="971549"/>
            </a:xfrm>
          </xdr:grpSpPr>
          <xdr:grpSp>
            <xdr:nvGrpSpPr>
              <xdr:cNvPr id="532" name="Group 239">
                <a:extLst>
                  <a:ext uri="{FF2B5EF4-FFF2-40B4-BE49-F238E27FC236}">
                    <a16:creationId xmlns:a16="http://schemas.microsoft.com/office/drawing/2014/main" id="{FF41F420-2300-2A4A-8E87-7DCDF12154F6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33950" y="18811876"/>
                <a:ext cx="380999" cy="971549"/>
                <a:chOff x="339" y="1152"/>
                <a:chExt cx="147" cy="433"/>
              </a:xfrm>
            </xdr:grpSpPr>
            <xdr:sp macro="" textlink="">
              <xdr:nvSpPr>
                <xdr:cNvPr id="544" name="Line 11">
                  <a:extLst>
                    <a:ext uri="{FF2B5EF4-FFF2-40B4-BE49-F238E27FC236}">
                      <a16:creationId xmlns:a16="http://schemas.microsoft.com/office/drawing/2014/main" id="{E38B5968-6FC2-B9E0-C22E-7B5020336257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486" y="1152"/>
                  <a:ext cx="0" cy="432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545" name="Line 12">
                  <a:extLst>
                    <a:ext uri="{FF2B5EF4-FFF2-40B4-BE49-F238E27FC236}">
                      <a16:creationId xmlns:a16="http://schemas.microsoft.com/office/drawing/2014/main" id="{4CB4B820-3A49-703E-4998-2715B63415D2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584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552" name="Line 13">
                  <a:extLst>
                    <a:ext uri="{FF2B5EF4-FFF2-40B4-BE49-F238E27FC236}">
                      <a16:creationId xmlns:a16="http://schemas.microsoft.com/office/drawing/2014/main" id="{52CE3604-5D3B-77A6-0466-2D2D4501EDE9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440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553" name="Line 14">
                  <a:extLst>
                    <a:ext uri="{FF2B5EF4-FFF2-40B4-BE49-F238E27FC236}">
                      <a16:creationId xmlns:a16="http://schemas.microsoft.com/office/drawing/2014/main" id="{DFA6B068-0CAA-3E57-E52F-028E9337910D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296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554" name="Line 15">
                  <a:extLst>
                    <a:ext uri="{FF2B5EF4-FFF2-40B4-BE49-F238E27FC236}">
                      <a16:creationId xmlns:a16="http://schemas.microsoft.com/office/drawing/2014/main" id="{DC1E12CA-E1BD-EA02-4DD6-1B8FF33B578F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152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</xdr:grpSp>
          <xdr:cxnSp macro="">
            <xdr:nvCxnSpPr>
              <xdr:cNvPr id="535" name="Straight Connector 246">
                <a:extLst>
                  <a:ext uri="{FF2B5EF4-FFF2-40B4-BE49-F238E27FC236}">
                    <a16:creationId xmlns:a16="http://schemas.microsoft.com/office/drawing/2014/main" id="{777B7B98-1D9D-E32D-D43B-1C6ABA467F1D}"/>
                  </a:ext>
                </a:extLst>
              </xdr:cNvPr>
              <xdr:cNvCxnSpPr>
                <a:stCxn id="554" idx="1"/>
                <a:endCxn id="545" idx="1"/>
              </xdr:cNvCxnSpPr>
            </xdr:nvCxnSpPr>
            <xdr:spPr>
              <a:xfrm>
                <a:off x="4933950" y="18814120"/>
                <a:ext cx="0" cy="969305"/>
              </a:xfrm>
              <a:prstGeom prst="line">
                <a:avLst/>
              </a:prstGeom>
              <a:ln w="28575"/>
            </xdr:spPr>
            <xdr:style>
              <a:lnRef idx="3">
                <a:schemeClr val="dk1"/>
              </a:lnRef>
              <a:fillRef idx="0">
                <a:schemeClr val="dk1"/>
              </a:fillRef>
              <a:effectRef idx="2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530" name="Rectangle 529">
              <a:extLst>
                <a:ext uri="{FF2B5EF4-FFF2-40B4-BE49-F238E27FC236}">
                  <a16:creationId xmlns:a16="http://schemas.microsoft.com/office/drawing/2014/main" id="{54937066-C814-2D5C-CDF3-66360CC5F560}"/>
                </a:ext>
              </a:extLst>
            </xdr:cNvPr>
            <xdr:cNvSpPr/>
          </xdr:nvSpPr>
          <xdr:spPr>
            <a:xfrm>
              <a:off x="4867274" y="19431000"/>
              <a:ext cx="381001" cy="266700"/>
            </a:xfrm>
            <a:prstGeom prst="rect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18</xdr:col>
      <xdr:colOff>1206500</xdr:colOff>
      <xdr:row>92</xdr:row>
      <xdr:rowOff>63500</xdr:rowOff>
    </xdr:from>
    <xdr:to>
      <xdr:col>20</xdr:col>
      <xdr:colOff>12192000</xdr:colOff>
      <xdr:row>101</xdr:row>
      <xdr:rowOff>190499</xdr:rowOff>
    </xdr:to>
    <xdr:grpSp>
      <xdr:nvGrpSpPr>
        <xdr:cNvPr id="555" name="Group 59">
          <a:extLst>
            <a:ext uri="{FF2B5EF4-FFF2-40B4-BE49-F238E27FC236}">
              <a16:creationId xmlns:a16="http://schemas.microsoft.com/office/drawing/2014/main" id="{175F252C-3682-4EA9-A9A4-4666EBA369A2}"/>
            </a:ext>
          </a:extLst>
        </xdr:cNvPr>
        <xdr:cNvGrpSpPr/>
      </xdr:nvGrpSpPr>
      <xdr:grpSpPr>
        <a:xfrm>
          <a:off x="33058100" y="50050700"/>
          <a:ext cx="19519900" cy="5308599"/>
          <a:chOff x="600075" y="7658100"/>
          <a:chExt cx="1714500" cy="1409700"/>
        </a:xfrm>
        <a:solidFill>
          <a:srgbClr val="00B0F0"/>
        </a:solidFill>
      </xdr:grpSpPr>
      <xdr:grpSp>
        <xdr:nvGrpSpPr>
          <xdr:cNvPr id="556" name="Group 58">
            <a:extLst>
              <a:ext uri="{FF2B5EF4-FFF2-40B4-BE49-F238E27FC236}">
                <a16:creationId xmlns:a16="http://schemas.microsoft.com/office/drawing/2014/main" id="{F52BF27D-CF3B-AD92-AF2E-2E002CDF71AD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  <a:grpFill/>
        </xdr:grpSpPr>
        <xdr:sp macro="" textlink="">
          <xdr:nvSpPr>
            <xdr:cNvPr id="558" name="Rectangle 557">
              <a:extLst>
                <a:ext uri="{FF2B5EF4-FFF2-40B4-BE49-F238E27FC236}">
                  <a16:creationId xmlns:a16="http://schemas.microsoft.com/office/drawing/2014/main" id="{D2DE2A68-EAAF-5D78-4D60-FC9B049004B1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59" name="Rectangle 558">
              <a:extLst>
                <a:ext uri="{FF2B5EF4-FFF2-40B4-BE49-F238E27FC236}">
                  <a16:creationId xmlns:a16="http://schemas.microsoft.com/office/drawing/2014/main" id="{6D3B43F5-2C57-7AEB-126F-55E6FA09543E}"/>
                </a:ext>
              </a:extLst>
            </xdr:cNvPr>
            <xdr:cNvSpPr/>
          </xdr:nvSpPr>
          <xdr:spPr>
            <a:xfrm>
              <a:off x="590550" y="7658098"/>
              <a:ext cx="1714500" cy="739530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54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SEAL</a:t>
              </a:r>
              <a:r>
                <a:rPr lang="fr-FR" sz="54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INSERTION</a:t>
              </a:r>
              <a:endParaRPr lang="fr-FR" sz="54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560" name="Oval 55">
              <a:extLst>
                <a:ext uri="{FF2B5EF4-FFF2-40B4-BE49-F238E27FC236}">
                  <a16:creationId xmlns:a16="http://schemas.microsoft.com/office/drawing/2014/main" id="{B084A4CC-CAC7-30FB-51A0-2F6679917129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557" name="Freeform: Shape 57">
            <a:extLst>
              <a:ext uri="{FF2B5EF4-FFF2-40B4-BE49-F238E27FC236}">
                <a16:creationId xmlns:a16="http://schemas.microsoft.com/office/drawing/2014/main" id="{F4E112FE-8152-E519-D561-53478293704B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grp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22</xdr:col>
      <xdr:colOff>1436078</xdr:colOff>
      <xdr:row>92</xdr:row>
      <xdr:rowOff>386862</xdr:rowOff>
    </xdr:from>
    <xdr:to>
      <xdr:col>25</xdr:col>
      <xdr:colOff>674078</xdr:colOff>
      <xdr:row>101</xdr:row>
      <xdr:rowOff>130988</xdr:rowOff>
    </xdr:to>
    <xdr:grpSp>
      <xdr:nvGrpSpPr>
        <xdr:cNvPr id="751" name="Group 72">
          <a:extLst>
            <a:ext uri="{FF2B5EF4-FFF2-40B4-BE49-F238E27FC236}">
              <a16:creationId xmlns:a16="http://schemas.microsoft.com/office/drawing/2014/main" id="{12B47E6E-90D6-43BE-9DFE-9293B09AEB09}"/>
            </a:ext>
          </a:extLst>
        </xdr:cNvPr>
        <xdr:cNvGrpSpPr/>
      </xdr:nvGrpSpPr>
      <xdr:grpSpPr>
        <a:xfrm>
          <a:off x="57824078" y="50374062"/>
          <a:ext cx="17830800" cy="4925726"/>
          <a:chOff x="3150377" y="8191500"/>
          <a:chExt cx="1878823" cy="1609725"/>
        </a:xfrm>
        <a:solidFill>
          <a:srgbClr val="00B0F0"/>
        </a:solidFill>
      </xdr:grpSpPr>
      <xdr:grpSp>
        <xdr:nvGrpSpPr>
          <xdr:cNvPr id="902" name="Group 66">
            <a:extLst>
              <a:ext uri="{FF2B5EF4-FFF2-40B4-BE49-F238E27FC236}">
                <a16:creationId xmlns:a16="http://schemas.microsoft.com/office/drawing/2014/main" id="{A41CBBBE-1D08-08EC-0783-58CBFDB1A43E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  <a:grpFill/>
        </xdr:grpSpPr>
        <xdr:grpSp>
          <xdr:nvGrpSpPr>
            <xdr:cNvPr id="932" name="Group 67">
              <a:extLst>
                <a:ext uri="{FF2B5EF4-FFF2-40B4-BE49-F238E27FC236}">
                  <a16:creationId xmlns:a16="http://schemas.microsoft.com/office/drawing/2014/main" id="{89D7517E-913A-8638-30A6-1B7B363FC96A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  <a:grpFill/>
          </xdr:grpSpPr>
          <xdr:sp macro="" textlink="">
            <xdr:nvSpPr>
              <xdr:cNvPr id="1039" name="Rectangle 1038">
                <a:extLst>
                  <a:ext uri="{FF2B5EF4-FFF2-40B4-BE49-F238E27FC236}">
                    <a16:creationId xmlns:a16="http://schemas.microsoft.com/office/drawing/2014/main" id="{B24EDEF3-70A8-B42F-7D1E-D8E3F181FB9F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040" name="Rectangle 1039">
                <a:extLst>
                  <a:ext uri="{FF2B5EF4-FFF2-40B4-BE49-F238E27FC236}">
                    <a16:creationId xmlns:a16="http://schemas.microsoft.com/office/drawing/2014/main" id="{D3DEA822-C16A-058F-559B-72F54539FA37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041" name="Oval 71">
                <a:extLst>
                  <a:ext uri="{FF2B5EF4-FFF2-40B4-BE49-F238E27FC236}">
                    <a16:creationId xmlns:a16="http://schemas.microsoft.com/office/drawing/2014/main" id="{5E92CABD-87C8-1F55-8C25-45197A224D09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1038" name="Freeform: Shape 68">
              <a:extLst>
                <a:ext uri="{FF2B5EF4-FFF2-40B4-BE49-F238E27FC236}">
                  <a16:creationId xmlns:a16="http://schemas.microsoft.com/office/drawing/2014/main" id="{6A1993E3-76F7-05E8-1F98-C44DA3080C08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903" name="Group 60">
            <a:extLst>
              <a:ext uri="{FF2B5EF4-FFF2-40B4-BE49-F238E27FC236}">
                <a16:creationId xmlns:a16="http://schemas.microsoft.com/office/drawing/2014/main" id="{3A35B454-7D8F-3171-335A-4395100478BD}"/>
              </a:ext>
            </a:extLst>
          </xdr:cNvPr>
          <xdr:cNvGrpSpPr/>
        </xdr:nvGrpSpPr>
        <xdr:grpSpPr>
          <a:xfrm>
            <a:off x="3150377" y="8391525"/>
            <a:ext cx="1714500" cy="1409700"/>
            <a:chOff x="607202" y="7658100"/>
            <a:chExt cx="1714500" cy="1409700"/>
          </a:xfrm>
          <a:grpFill/>
        </xdr:grpSpPr>
        <xdr:grpSp>
          <xdr:nvGrpSpPr>
            <xdr:cNvPr id="904" name="Group 61">
              <a:extLst>
                <a:ext uri="{FF2B5EF4-FFF2-40B4-BE49-F238E27FC236}">
                  <a16:creationId xmlns:a16="http://schemas.microsoft.com/office/drawing/2014/main" id="{649CED08-6962-E521-CB22-E9F226EBEE89}"/>
                </a:ext>
              </a:extLst>
            </xdr:cNvPr>
            <xdr:cNvGrpSpPr/>
          </xdr:nvGrpSpPr>
          <xdr:grpSpPr>
            <a:xfrm>
              <a:off x="607202" y="7658100"/>
              <a:ext cx="1714500" cy="1409700"/>
              <a:chOff x="597677" y="7648575"/>
              <a:chExt cx="1714500" cy="1409700"/>
            </a:xfrm>
            <a:grpFill/>
          </xdr:grpSpPr>
          <xdr:sp macro="" textlink="">
            <xdr:nvSpPr>
              <xdr:cNvPr id="914" name="Rectangle 913">
                <a:extLst>
                  <a:ext uri="{FF2B5EF4-FFF2-40B4-BE49-F238E27FC236}">
                    <a16:creationId xmlns:a16="http://schemas.microsoft.com/office/drawing/2014/main" id="{AC38B7C3-B9C9-5225-21E0-F033EA5F9806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917" name="Rectangle 916">
                <a:extLst>
                  <a:ext uri="{FF2B5EF4-FFF2-40B4-BE49-F238E27FC236}">
                    <a16:creationId xmlns:a16="http://schemas.microsoft.com/office/drawing/2014/main" id="{87707553-18A1-DC1C-3806-BB5C736AA882}"/>
                  </a:ext>
                </a:extLst>
              </xdr:cNvPr>
              <xdr:cNvSpPr/>
            </xdr:nvSpPr>
            <xdr:spPr>
              <a:xfrm>
                <a:off x="597677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54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MECAL</a:t>
                </a:r>
              </a:p>
            </xdr:txBody>
          </xdr:sp>
          <xdr:sp macro="" textlink="">
            <xdr:nvSpPr>
              <xdr:cNvPr id="920" name="Oval 65">
                <a:extLst>
                  <a:ext uri="{FF2B5EF4-FFF2-40B4-BE49-F238E27FC236}">
                    <a16:creationId xmlns:a16="http://schemas.microsoft.com/office/drawing/2014/main" id="{B6FD7250-7C5D-C576-4D21-72D491D4BCDE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909" name="Freeform: Shape 62">
              <a:extLst>
                <a:ext uri="{FF2B5EF4-FFF2-40B4-BE49-F238E27FC236}">
                  <a16:creationId xmlns:a16="http://schemas.microsoft.com/office/drawing/2014/main" id="{BC91225A-176A-88F1-46B7-436B459F9767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27</xdr:col>
      <xdr:colOff>179420</xdr:colOff>
      <xdr:row>92</xdr:row>
      <xdr:rowOff>0</xdr:rowOff>
    </xdr:from>
    <xdr:to>
      <xdr:col>29</xdr:col>
      <xdr:colOff>218830</xdr:colOff>
      <xdr:row>100</xdr:row>
      <xdr:rowOff>256592</xdr:rowOff>
    </xdr:to>
    <xdr:grpSp>
      <xdr:nvGrpSpPr>
        <xdr:cNvPr id="1042" name="Group 72">
          <a:extLst>
            <a:ext uri="{FF2B5EF4-FFF2-40B4-BE49-F238E27FC236}">
              <a16:creationId xmlns:a16="http://schemas.microsoft.com/office/drawing/2014/main" id="{50930545-E075-4C7F-8AF0-BE625A304F8D}"/>
            </a:ext>
          </a:extLst>
        </xdr:cNvPr>
        <xdr:cNvGrpSpPr/>
      </xdr:nvGrpSpPr>
      <xdr:grpSpPr>
        <a:xfrm>
          <a:off x="80570420" y="49987200"/>
          <a:ext cx="15965210" cy="4980992"/>
          <a:chOff x="3150377" y="8191500"/>
          <a:chExt cx="1878823" cy="1609725"/>
        </a:xfrm>
        <a:solidFill>
          <a:srgbClr val="00B0F0"/>
        </a:solidFill>
      </xdr:grpSpPr>
      <xdr:grpSp>
        <xdr:nvGrpSpPr>
          <xdr:cNvPr id="1043" name="Group 66">
            <a:extLst>
              <a:ext uri="{FF2B5EF4-FFF2-40B4-BE49-F238E27FC236}">
                <a16:creationId xmlns:a16="http://schemas.microsoft.com/office/drawing/2014/main" id="{8375F789-6776-AB30-F116-3F868BFB2529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  <a:grpFill/>
        </xdr:grpSpPr>
        <xdr:grpSp>
          <xdr:nvGrpSpPr>
            <xdr:cNvPr id="1050" name="Group 67">
              <a:extLst>
                <a:ext uri="{FF2B5EF4-FFF2-40B4-BE49-F238E27FC236}">
                  <a16:creationId xmlns:a16="http://schemas.microsoft.com/office/drawing/2014/main" id="{DE3C9EB5-7A4F-ED42-3C2C-C62EAA1EA66D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  <a:grpFill/>
          </xdr:grpSpPr>
          <xdr:sp macro="" textlink="">
            <xdr:nvSpPr>
              <xdr:cNvPr id="1052" name="Rectangle 1051">
                <a:extLst>
                  <a:ext uri="{FF2B5EF4-FFF2-40B4-BE49-F238E27FC236}">
                    <a16:creationId xmlns:a16="http://schemas.microsoft.com/office/drawing/2014/main" id="{036475F9-FBDF-50D4-C849-8E84A20C9FBE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063" name="Rectangle 1062">
                <a:extLst>
                  <a:ext uri="{FF2B5EF4-FFF2-40B4-BE49-F238E27FC236}">
                    <a16:creationId xmlns:a16="http://schemas.microsoft.com/office/drawing/2014/main" id="{BB2977EA-CF28-4DF6-C260-44183516F1ED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064" name="Oval 71">
                <a:extLst>
                  <a:ext uri="{FF2B5EF4-FFF2-40B4-BE49-F238E27FC236}">
                    <a16:creationId xmlns:a16="http://schemas.microsoft.com/office/drawing/2014/main" id="{F3010625-A239-16DA-753A-2124D2C0B52C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1051" name="Freeform: Shape 68">
              <a:extLst>
                <a:ext uri="{FF2B5EF4-FFF2-40B4-BE49-F238E27FC236}">
                  <a16:creationId xmlns:a16="http://schemas.microsoft.com/office/drawing/2014/main" id="{73C7A2C2-8864-6843-6315-10D33FCFFC09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044" name="Group 60">
            <a:extLst>
              <a:ext uri="{FF2B5EF4-FFF2-40B4-BE49-F238E27FC236}">
                <a16:creationId xmlns:a16="http://schemas.microsoft.com/office/drawing/2014/main" id="{31650BA6-27A0-7A5F-0DEA-E1E482A061BA}"/>
              </a:ext>
            </a:extLst>
          </xdr:cNvPr>
          <xdr:cNvGrpSpPr/>
        </xdr:nvGrpSpPr>
        <xdr:grpSpPr>
          <a:xfrm>
            <a:off x="3150377" y="8391525"/>
            <a:ext cx="1714500" cy="1409700"/>
            <a:chOff x="607202" y="7658100"/>
            <a:chExt cx="1714500" cy="1409700"/>
          </a:xfrm>
          <a:grpFill/>
        </xdr:grpSpPr>
        <xdr:grpSp>
          <xdr:nvGrpSpPr>
            <xdr:cNvPr id="1045" name="Group 61">
              <a:extLst>
                <a:ext uri="{FF2B5EF4-FFF2-40B4-BE49-F238E27FC236}">
                  <a16:creationId xmlns:a16="http://schemas.microsoft.com/office/drawing/2014/main" id="{F9F78F0A-8D89-0988-0B76-F08E847CDF68}"/>
                </a:ext>
              </a:extLst>
            </xdr:cNvPr>
            <xdr:cNvGrpSpPr/>
          </xdr:nvGrpSpPr>
          <xdr:grpSpPr>
            <a:xfrm>
              <a:off x="607202" y="7658100"/>
              <a:ext cx="1714500" cy="1409700"/>
              <a:chOff x="597677" y="7648575"/>
              <a:chExt cx="1714500" cy="1409700"/>
            </a:xfrm>
            <a:grpFill/>
          </xdr:grpSpPr>
          <xdr:sp macro="" textlink="">
            <xdr:nvSpPr>
              <xdr:cNvPr id="1047" name="Rectangle 1046">
                <a:extLst>
                  <a:ext uri="{FF2B5EF4-FFF2-40B4-BE49-F238E27FC236}">
                    <a16:creationId xmlns:a16="http://schemas.microsoft.com/office/drawing/2014/main" id="{28CFCF10-4896-4D69-B786-3E8C670C1760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048" name="Rectangle 1047">
                <a:extLst>
                  <a:ext uri="{FF2B5EF4-FFF2-40B4-BE49-F238E27FC236}">
                    <a16:creationId xmlns:a16="http://schemas.microsoft.com/office/drawing/2014/main" id="{9462246A-C39A-4BA5-C9D7-4367DCD3F79F}"/>
                  </a:ext>
                </a:extLst>
              </xdr:cNvPr>
              <xdr:cNvSpPr/>
            </xdr:nvSpPr>
            <xdr:spPr>
              <a:xfrm>
                <a:off x="597677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fr-FR" sz="5400" b="1">
                    <a:solidFill>
                      <a:schemeClr val="dk1"/>
                    </a:solidFill>
                    <a:effectLst/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rPr>
                  <a:t>ELOPAR</a:t>
                </a:r>
                <a:endParaRPr lang="fr-FR" sz="54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049" name="Oval 65">
                <a:extLst>
                  <a:ext uri="{FF2B5EF4-FFF2-40B4-BE49-F238E27FC236}">
                    <a16:creationId xmlns:a16="http://schemas.microsoft.com/office/drawing/2014/main" id="{63C3C472-D1E1-5161-3CB5-099BB2F14490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1046" name="Freeform: Shape 62">
              <a:extLst>
                <a:ext uri="{FF2B5EF4-FFF2-40B4-BE49-F238E27FC236}">
                  <a16:creationId xmlns:a16="http://schemas.microsoft.com/office/drawing/2014/main" id="{3DA371B8-654A-5936-C144-10945C6242D1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35</xdr:col>
      <xdr:colOff>653142</xdr:colOff>
      <xdr:row>91</xdr:row>
      <xdr:rowOff>127000</xdr:rowOff>
    </xdr:from>
    <xdr:to>
      <xdr:col>37</xdr:col>
      <xdr:colOff>0</xdr:colOff>
      <xdr:row>101</xdr:row>
      <xdr:rowOff>217715</xdr:rowOff>
    </xdr:to>
    <xdr:grpSp>
      <xdr:nvGrpSpPr>
        <xdr:cNvPr id="1159" name="Group 59">
          <a:extLst>
            <a:ext uri="{FF2B5EF4-FFF2-40B4-BE49-F238E27FC236}">
              <a16:creationId xmlns:a16="http://schemas.microsoft.com/office/drawing/2014/main" id="{C4E5D98B-CEE5-4453-9EAC-39CAC2C0F657}"/>
            </a:ext>
          </a:extLst>
        </xdr:cNvPr>
        <xdr:cNvGrpSpPr/>
      </xdr:nvGrpSpPr>
      <xdr:grpSpPr>
        <a:xfrm>
          <a:off x="122649342" y="49657000"/>
          <a:ext cx="16568058" cy="5729515"/>
          <a:chOff x="600075" y="7658100"/>
          <a:chExt cx="1714500" cy="1409700"/>
        </a:xfrm>
        <a:solidFill>
          <a:srgbClr val="00B0F0"/>
        </a:solidFill>
      </xdr:grpSpPr>
      <xdr:grpSp>
        <xdr:nvGrpSpPr>
          <xdr:cNvPr id="1160" name="Group 58">
            <a:extLst>
              <a:ext uri="{FF2B5EF4-FFF2-40B4-BE49-F238E27FC236}">
                <a16:creationId xmlns:a16="http://schemas.microsoft.com/office/drawing/2014/main" id="{FA1F06BB-6179-CAC5-39D6-0248BAE6FCF6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  <a:grpFill/>
        </xdr:grpSpPr>
        <xdr:sp macro="" textlink="">
          <xdr:nvSpPr>
            <xdr:cNvPr id="1162" name="Rectangle 1161">
              <a:extLst>
                <a:ext uri="{FF2B5EF4-FFF2-40B4-BE49-F238E27FC236}">
                  <a16:creationId xmlns:a16="http://schemas.microsoft.com/office/drawing/2014/main" id="{03954AD2-989A-F276-50D8-0E0DAF9F4196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163" name="Rectangle 1162">
              <a:extLst>
                <a:ext uri="{FF2B5EF4-FFF2-40B4-BE49-F238E27FC236}">
                  <a16:creationId xmlns:a16="http://schemas.microsoft.com/office/drawing/2014/main" id="{32EAD8D9-A130-C6F1-18B3-9693AA9043FE}"/>
                </a:ext>
              </a:extLst>
            </xdr:cNvPr>
            <xdr:cNvSpPr/>
          </xdr:nvSpPr>
          <xdr:spPr>
            <a:xfrm>
              <a:off x="590550" y="7658098"/>
              <a:ext cx="1714500" cy="577106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54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CONTENTION</a:t>
              </a:r>
              <a:r>
                <a:rPr lang="fr-FR" sz="1600"/>
                <a:t> </a:t>
              </a:r>
            </a:p>
          </xdr:txBody>
        </xdr:sp>
        <xdr:sp macro="" textlink="">
          <xdr:nvSpPr>
            <xdr:cNvPr id="1164" name="Oval 55">
              <a:extLst>
                <a:ext uri="{FF2B5EF4-FFF2-40B4-BE49-F238E27FC236}">
                  <a16:creationId xmlns:a16="http://schemas.microsoft.com/office/drawing/2014/main" id="{642BD3A3-C750-C8B1-A8D8-14A7C881CFAF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161" name="Freeform: Shape 57">
            <a:extLst>
              <a:ext uri="{FF2B5EF4-FFF2-40B4-BE49-F238E27FC236}">
                <a16:creationId xmlns:a16="http://schemas.microsoft.com/office/drawing/2014/main" id="{22E5F829-2C33-E43B-F5C1-11B6823D8FBF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grp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19</xdr:col>
      <xdr:colOff>160420</xdr:colOff>
      <xdr:row>146</xdr:row>
      <xdr:rowOff>254000</xdr:rowOff>
    </xdr:from>
    <xdr:to>
      <xdr:col>20</xdr:col>
      <xdr:colOff>12445999</xdr:colOff>
      <xdr:row>155</xdr:row>
      <xdr:rowOff>291757</xdr:rowOff>
    </xdr:to>
    <xdr:grpSp>
      <xdr:nvGrpSpPr>
        <xdr:cNvPr id="1165" name="Group 59">
          <a:extLst>
            <a:ext uri="{FF2B5EF4-FFF2-40B4-BE49-F238E27FC236}">
              <a16:creationId xmlns:a16="http://schemas.microsoft.com/office/drawing/2014/main" id="{C2C48743-5CDF-40D4-87F6-0796C8BB9CC3}"/>
            </a:ext>
          </a:extLst>
        </xdr:cNvPr>
        <xdr:cNvGrpSpPr/>
      </xdr:nvGrpSpPr>
      <xdr:grpSpPr>
        <a:xfrm>
          <a:off x="33612220" y="85598000"/>
          <a:ext cx="19219779" cy="5219357"/>
          <a:chOff x="600075" y="7658100"/>
          <a:chExt cx="1714500" cy="1409700"/>
        </a:xfrm>
        <a:solidFill>
          <a:srgbClr val="00B0F0"/>
        </a:solidFill>
      </xdr:grpSpPr>
      <xdr:grpSp>
        <xdr:nvGrpSpPr>
          <xdr:cNvPr id="1166" name="Group 58">
            <a:extLst>
              <a:ext uri="{FF2B5EF4-FFF2-40B4-BE49-F238E27FC236}">
                <a16:creationId xmlns:a16="http://schemas.microsoft.com/office/drawing/2014/main" id="{8EDB12D1-0B76-7461-9CC2-D554CF0CC61E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  <a:grpFill/>
        </xdr:grpSpPr>
        <xdr:sp macro="" textlink="">
          <xdr:nvSpPr>
            <xdr:cNvPr id="1171" name="Rectangle 1170">
              <a:extLst>
                <a:ext uri="{FF2B5EF4-FFF2-40B4-BE49-F238E27FC236}">
                  <a16:creationId xmlns:a16="http://schemas.microsoft.com/office/drawing/2014/main" id="{D82C6D06-A951-6048-D60C-8EC8D811AE0E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172" name="Rectangle 1171">
              <a:extLst>
                <a:ext uri="{FF2B5EF4-FFF2-40B4-BE49-F238E27FC236}">
                  <a16:creationId xmlns:a16="http://schemas.microsoft.com/office/drawing/2014/main" id="{D644EBC1-ECE1-028E-36DC-7313197D63C0}"/>
                </a:ext>
              </a:extLst>
            </xdr:cNvPr>
            <xdr:cNvSpPr/>
          </xdr:nvSpPr>
          <xdr:spPr>
            <a:xfrm>
              <a:off x="590550" y="7658099"/>
              <a:ext cx="1714500" cy="739530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54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KOMAX 560</a:t>
              </a:r>
            </a:p>
          </xdr:txBody>
        </xdr:sp>
        <xdr:sp macro="" textlink="">
          <xdr:nvSpPr>
            <xdr:cNvPr id="1173" name="Oval 55">
              <a:extLst>
                <a:ext uri="{FF2B5EF4-FFF2-40B4-BE49-F238E27FC236}">
                  <a16:creationId xmlns:a16="http://schemas.microsoft.com/office/drawing/2014/main" id="{329BAE1D-8FE5-9E48-FBE5-E118ACD6555B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167" name="Freeform: Shape 57">
            <a:extLst>
              <a:ext uri="{FF2B5EF4-FFF2-40B4-BE49-F238E27FC236}">
                <a16:creationId xmlns:a16="http://schemas.microsoft.com/office/drawing/2014/main" id="{A8AA359E-4660-633D-8392-DFA969573C12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grp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27</xdr:col>
      <xdr:colOff>244230</xdr:colOff>
      <xdr:row>147</xdr:row>
      <xdr:rowOff>1</xdr:rowOff>
    </xdr:from>
    <xdr:to>
      <xdr:col>29</xdr:col>
      <xdr:colOff>126999</xdr:colOff>
      <xdr:row>156</xdr:row>
      <xdr:rowOff>48847</xdr:rowOff>
    </xdr:to>
    <xdr:grpSp>
      <xdr:nvGrpSpPr>
        <xdr:cNvPr id="1204" name="Group 72">
          <a:extLst>
            <a:ext uri="{FF2B5EF4-FFF2-40B4-BE49-F238E27FC236}">
              <a16:creationId xmlns:a16="http://schemas.microsoft.com/office/drawing/2014/main" id="{0C66CAD9-61B9-4DF8-B2AF-1A64538C4618}"/>
            </a:ext>
          </a:extLst>
        </xdr:cNvPr>
        <xdr:cNvGrpSpPr/>
      </xdr:nvGrpSpPr>
      <xdr:grpSpPr>
        <a:xfrm>
          <a:off x="80635230" y="85801201"/>
          <a:ext cx="15808569" cy="5230446"/>
          <a:chOff x="3150377" y="8191500"/>
          <a:chExt cx="1878823" cy="1609725"/>
        </a:xfrm>
        <a:solidFill>
          <a:srgbClr val="00B0F0"/>
        </a:solidFill>
      </xdr:grpSpPr>
      <xdr:grpSp>
        <xdr:nvGrpSpPr>
          <xdr:cNvPr id="1205" name="Group 66">
            <a:extLst>
              <a:ext uri="{FF2B5EF4-FFF2-40B4-BE49-F238E27FC236}">
                <a16:creationId xmlns:a16="http://schemas.microsoft.com/office/drawing/2014/main" id="{99E33B6F-1BE5-A04A-A44E-66F5611086DA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  <a:grpFill/>
        </xdr:grpSpPr>
        <xdr:grpSp>
          <xdr:nvGrpSpPr>
            <xdr:cNvPr id="1212" name="Group 67">
              <a:extLst>
                <a:ext uri="{FF2B5EF4-FFF2-40B4-BE49-F238E27FC236}">
                  <a16:creationId xmlns:a16="http://schemas.microsoft.com/office/drawing/2014/main" id="{9C56E0FD-D1E6-EAC7-1768-842C4693FE03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  <a:grpFill/>
          </xdr:grpSpPr>
          <xdr:sp macro="" textlink="">
            <xdr:nvSpPr>
              <xdr:cNvPr id="1214" name="Rectangle 1213">
                <a:extLst>
                  <a:ext uri="{FF2B5EF4-FFF2-40B4-BE49-F238E27FC236}">
                    <a16:creationId xmlns:a16="http://schemas.microsoft.com/office/drawing/2014/main" id="{2273467B-1C08-DAF0-F571-56841EDCFAC3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215" name="Rectangle 1214">
                <a:extLst>
                  <a:ext uri="{FF2B5EF4-FFF2-40B4-BE49-F238E27FC236}">
                    <a16:creationId xmlns:a16="http://schemas.microsoft.com/office/drawing/2014/main" id="{EB608460-3B0F-30FB-0E36-D94415B5024F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216" name="Oval 71">
                <a:extLst>
                  <a:ext uri="{FF2B5EF4-FFF2-40B4-BE49-F238E27FC236}">
                    <a16:creationId xmlns:a16="http://schemas.microsoft.com/office/drawing/2014/main" id="{BBEB9B97-7B42-6EE5-2FC0-D8EFA03A138E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1213" name="Freeform: Shape 68">
              <a:extLst>
                <a:ext uri="{FF2B5EF4-FFF2-40B4-BE49-F238E27FC236}">
                  <a16:creationId xmlns:a16="http://schemas.microsoft.com/office/drawing/2014/main" id="{D53AA41E-B78E-EAEA-169A-BA2507174C9A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206" name="Group 60">
            <a:extLst>
              <a:ext uri="{FF2B5EF4-FFF2-40B4-BE49-F238E27FC236}">
                <a16:creationId xmlns:a16="http://schemas.microsoft.com/office/drawing/2014/main" id="{3A370E1A-A5E2-48AC-E06A-3B6C7E014C2D}"/>
              </a:ext>
            </a:extLst>
          </xdr:cNvPr>
          <xdr:cNvGrpSpPr/>
        </xdr:nvGrpSpPr>
        <xdr:grpSpPr>
          <a:xfrm>
            <a:off x="3150377" y="8391525"/>
            <a:ext cx="1714500" cy="1409700"/>
            <a:chOff x="607202" y="7658100"/>
            <a:chExt cx="1714500" cy="1409700"/>
          </a:xfrm>
          <a:grpFill/>
        </xdr:grpSpPr>
        <xdr:grpSp>
          <xdr:nvGrpSpPr>
            <xdr:cNvPr id="1207" name="Group 61">
              <a:extLst>
                <a:ext uri="{FF2B5EF4-FFF2-40B4-BE49-F238E27FC236}">
                  <a16:creationId xmlns:a16="http://schemas.microsoft.com/office/drawing/2014/main" id="{93C80CC0-AA44-4DD7-8ED3-AFDCB1D36513}"/>
                </a:ext>
              </a:extLst>
            </xdr:cNvPr>
            <xdr:cNvGrpSpPr/>
          </xdr:nvGrpSpPr>
          <xdr:grpSpPr>
            <a:xfrm>
              <a:off x="607202" y="7658100"/>
              <a:ext cx="1714500" cy="1409700"/>
              <a:chOff x="597677" y="7648575"/>
              <a:chExt cx="1714500" cy="1409700"/>
            </a:xfrm>
            <a:grpFill/>
          </xdr:grpSpPr>
          <xdr:sp macro="" textlink="">
            <xdr:nvSpPr>
              <xdr:cNvPr id="1209" name="Rectangle 1208">
                <a:extLst>
                  <a:ext uri="{FF2B5EF4-FFF2-40B4-BE49-F238E27FC236}">
                    <a16:creationId xmlns:a16="http://schemas.microsoft.com/office/drawing/2014/main" id="{2F81E3EC-935B-18F3-E607-DA7E6F37C72A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210" name="Rectangle 1209">
                <a:extLst>
                  <a:ext uri="{FF2B5EF4-FFF2-40B4-BE49-F238E27FC236}">
                    <a16:creationId xmlns:a16="http://schemas.microsoft.com/office/drawing/2014/main" id="{27627E5A-3D21-5716-9AE1-B326CE5282DA}"/>
                  </a:ext>
                </a:extLst>
              </xdr:cNvPr>
              <xdr:cNvSpPr/>
            </xdr:nvSpPr>
            <xdr:spPr>
              <a:xfrm>
                <a:off x="597677" y="7658099"/>
                <a:ext cx="1714500" cy="558212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fr-FR" sz="5400" b="1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MECAL</a:t>
                </a:r>
              </a:p>
            </xdr:txBody>
          </xdr:sp>
          <xdr:sp macro="" textlink="">
            <xdr:nvSpPr>
              <xdr:cNvPr id="1211" name="Oval 65">
                <a:extLst>
                  <a:ext uri="{FF2B5EF4-FFF2-40B4-BE49-F238E27FC236}">
                    <a16:creationId xmlns:a16="http://schemas.microsoft.com/office/drawing/2014/main" id="{A5C9C6B6-729C-D049-DC95-D5365B7A41DA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1208" name="Freeform: Shape 62">
              <a:extLst>
                <a:ext uri="{FF2B5EF4-FFF2-40B4-BE49-F238E27FC236}">
                  <a16:creationId xmlns:a16="http://schemas.microsoft.com/office/drawing/2014/main" id="{B89110B7-2D68-3063-2B17-6EED958191DC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12</xdr:col>
      <xdr:colOff>1699845</xdr:colOff>
      <xdr:row>75</xdr:row>
      <xdr:rowOff>410310</xdr:rowOff>
    </xdr:from>
    <xdr:to>
      <xdr:col>13</xdr:col>
      <xdr:colOff>491041</xdr:colOff>
      <xdr:row>81</xdr:row>
      <xdr:rowOff>293080</xdr:rowOff>
    </xdr:to>
    <xdr:sp macro="" textlink="">
      <xdr:nvSpPr>
        <xdr:cNvPr id="1223" name="Arrow: Right 167">
          <a:extLst>
            <a:ext uri="{FF2B5EF4-FFF2-40B4-BE49-F238E27FC236}">
              <a16:creationId xmlns:a16="http://schemas.microsoft.com/office/drawing/2014/main" id="{2669782E-4B98-4D2C-8D86-1014A3C8336B}"/>
            </a:ext>
          </a:extLst>
        </xdr:cNvPr>
        <xdr:cNvSpPr/>
      </xdr:nvSpPr>
      <xdr:spPr>
        <a:xfrm rot="5400000">
          <a:off x="11822059" y="38704404"/>
          <a:ext cx="2696308" cy="784119"/>
        </a:xfrm>
        <a:prstGeom prst="rightArrow">
          <a:avLst/>
        </a:prstGeom>
        <a:solidFill>
          <a:schemeClr val="bg1"/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13</xdr:col>
      <xdr:colOff>175846</xdr:colOff>
      <xdr:row>87</xdr:row>
      <xdr:rowOff>58615</xdr:rowOff>
    </xdr:from>
    <xdr:to>
      <xdr:col>13</xdr:col>
      <xdr:colOff>2819400</xdr:colOff>
      <xdr:row>95</xdr:row>
      <xdr:rowOff>400065</xdr:rowOff>
    </xdr:to>
    <xdr:cxnSp macro="">
      <xdr:nvCxnSpPr>
        <xdr:cNvPr id="1224" name="Straight Arrow Connector 527">
          <a:extLst>
            <a:ext uri="{FF2B5EF4-FFF2-40B4-BE49-F238E27FC236}">
              <a16:creationId xmlns:a16="http://schemas.microsoft.com/office/drawing/2014/main" id="{0E139B65-8834-441F-BADA-E1B0B32419F0}"/>
            </a:ext>
          </a:extLst>
        </xdr:cNvPr>
        <xdr:cNvCxnSpPr>
          <a:endCxn id="525" idx="1"/>
        </xdr:cNvCxnSpPr>
      </xdr:nvCxnSpPr>
      <xdr:spPr>
        <a:xfrm>
          <a:off x="13587046" y="42349615"/>
          <a:ext cx="2643554" cy="5065850"/>
        </a:xfrm>
        <a:prstGeom prst="straightConnector1">
          <a:avLst/>
        </a:prstGeom>
        <a:ln w="5715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2017317</xdr:colOff>
      <xdr:row>95</xdr:row>
      <xdr:rowOff>351693</xdr:rowOff>
    </xdr:from>
    <xdr:to>
      <xdr:col>19</xdr:col>
      <xdr:colOff>58616</xdr:colOff>
      <xdr:row>95</xdr:row>
      <xdr:rowOff>400065</xdr:rowOff>
    </xdr:to>
    <xdr:cxnSp macro="">
      <xdr:nvCxnSpPr>
        <xdr:cNvPr id="1227" name="Straight Arrow Connector 527">
          <a:extLst>
            <a:ext uri="{FF2B5EF4-FFF2-40B4-BE49-F238E27FC236}">
              <a16:creationId xmlns:a16="http://schemas.microsoft.com/office/drawing/2014/main" id="{CB34F8D5-ED8D-420E-95B8-E6F3F5560D6A}"/>
            </a:ext>
          </a:extLst>
        </xdr:cNvPr>
        <xdr:cNvCxnSpPr>
          <a:stCxn id="525" idx="3"/>
        </xdr:cNvCxnSpPr>
      </xdr:nvCxnSpPr>
      <xdr:spPr>
        <a:xfrm flipV="1">
          <a:off x="19086117" y="47367093"/>
          <a:ext cx="9242699" cy="48372"/>
        </a:xfrm>
        <a:prstGeom prst="straightConnector1">
          <a:avLst/>
        </a:prstGeom>
        <a:ln w="5715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457200</xdr:colOff>
      <xdr:row>134</xdr:row>
      <xdr:rowOff>190500</xdr:rowOff>
    </xdr:from>
    <xdr:to>
      <xdr:col>14</xdr:col>
      <xdr:colOff>4064000</xdr:colOff>
      <xdr:row>144</xdr:row>
      <xdr:rowOff>381000</xdr:rowOff>
    </xdr:to>
    <xdr:grpSp>
      <xdr:nvGrpSpPr>
        <xdr:cNvPr id="1231" name="Group 23">
          <a:extLst>
            <a:ext uri="{FF2B5EF4-FFF2-40B4-BE49-F238E27FC236}">
              <a16:creationId xmlns:a16="http://schemas.microsoft.com/office/drawing/2014/main" id="{5F8E98EE-EA1E-4EDB-AB18-59B18FF138E6}"/>
            </a:ext>
          </a:extLst>
        </xdr:cNvPr>
        <xdr:cNvGrpSpPr/>
      </xdr:nvGrpSpPr>
      <xdr:grpSpPr>
        <a:xfrm>
          <a:off x="10058400" y="80048100"/>
          <a:ext cx="11074400" cy="4762500"/>
          <a:chOff x="1863655" y="3857625"/>
          <a:chExt cx="1070045" cy="742950"/>
        </a:xfrm>
        <a:solidFill>
          <a:schemeClr val="accent1">
            <a:lumMod val="40000"/>
            <a:lumOff val="60000"/>
          </a:schemeClr>
        </a:solidFill>
      </xdr:grpSpPr>
      <xdr:sp macro="" textlink="">
        <xdr:nvSpPr>
          <xdr:cNvPr id="1232" name="Freeform: Shape 18">
            <a:extLst>
              <a:ext uri="{FF2B5EF4-FFF2-40B4-BE49-F238E27FC236}">
                <a16:creationId xmlns:a16="http://schemas.microsoft.com/office/drawing/2014/main" id="{5428F569-8177-B7AD-5B58-1A8BC3087976}"/>
              </a:ext>
            </a:extLst>
          </xdr:cNvPr>
          <xdr:cNvSpPr/>
        </xdr:nvSpPr>
        <xdr:spPr>
          <a:xfrm>
            <a:off x="1863655" y="3857625"/>
            <a:ext cx="1070045" cy="742950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 b="1">
              <a:solidFill>
                <a:schemeClr val="tx1"/>
              </a:solidFill>
              <a:effectLst/>
            </a:endParaRPr>
          </a:p>
        </xdr:txBody>
      </xdr:sp>
      <xdr:sp macro="" textlink="">
        <xdr:nvSpPr>
          <xdr:cNvPr id="1233" name="Rectangle 1232">
            <a:extLst>
              <a:ext uri="{FF2B5EF4-FFF2-40B4-BE49-F238E27FC236}">
                <a16:creationId xmlns:a16="http://schemas.microsoft.com/office/drawing/2014/main" id="{717E61C7-35E0-D307-DF1E-554977487815}"/>
              </a:ext>
            </a:extLst>
          </xdr:cNvPr>
          <xdr:cNvSpPr/>
        </xdr:nvSpPr>
        <xdr:spPr>
          <a:xfrm>
            <a:off x="2038350" y="4267201"/>
            <a:ext cx="695325" cy="27622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6600" b="1">
                <a:latin typeface="Times New Roman" panose="02020603050405020304" pitchFamily="18" charset="0"/>
                <a:cs typeface="Times New Roman" panose="02020603050405020304" pitchFamily="18" charset="0"/>
              </a:rPr>
              <a:t>FOURNISSEURS</a:t>
            </a:r>
            <a:endParaRPr lang="fr-FR" sz="3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13</xdr:col>
      <xdr:colOff>762000</xdr:colOff>
      <xdr:row>144</xdr:row>
      <xdr:rowOff>445478</xdr:rowOff>
    </xdr:from>
    <xdr:to>
      <xdr:col>13</xdr:col>
      <xdr:colOff>1546119</xdr:colOff>
      <xdr:row>150</xdr:row>
      <xdr:rowOff>328248</xdr:rowOff>
    </xdr:to>
    <xdr:sp macro="" textlink="">
      <xdr:nvSpPr>
        <xdr:cNvPr id="1234" name="Arrow: Right 167">
          <a:extLst>
            <a:ext uri="{FF2B5EF4-FFF2-40B4-BE49-F238E27FC236}">
              <a16:creationId xmlns:a16="http://schemas.microsoft.com/office/drawing/2014/main" id="{D6DBD538-8382-4251-BB12-E9D9E111C832}"/>
            </a:ext>
          </a:extLst>
        </xdr:cNvPr>
        <xdr:cNvSpPr/>
      </xdr:nvSpPr>
      <xdr:spPr>
        <a:xfrm rot="5400000">
          <a:off x="13252275" y="78404603"/>
          <a:ext cx="2625970" cy="784119"/>
        </a:xfrm>
        <a:prstGeom prst="rightArrow">
          <a:avLst/>
        </a:prstGeom>
        <a:solidFill>
          <a:schemeClr val="bg1"/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12</xdr:col>
      <xdr:colOff>1512277</xdr:colOff>
      <xdr:row>150</xdr:row>
      <xdr:rowOff>117232</xdr:rowOff>
    </xdr:from>
    <xdr:to>
      <xdr:col>13</xdr:col>
      <xdr:colOff>2954216</xdr:colOff>
      <xdr:row>153</xdr:row>
      <xdr:rowOff>99647</xdr:rowOff>
    </xdr:to>
    <xdr:grpSp>
      <xdr:nvGrpSpPr>
        <xdr:cNvPr id="1235" name="Group 352">
          <a:extLst>
            <a:ext uri="{FF2B5EF4-FFF2-40B4-BE49-F238E27FC236}">
              <a16:creationId xmlns:a16="http://schemas.microsoft.com/office/drawing/2014/main" id="{781D487C-FC3C-42A1-BD13-78E0F3BB04FE}"/>
            </a:ext>
          </a:extLst>
        </xdr:cNvPr>
        <xdr:cNvGrpSpPr/>
      </xdr:nvGrpSpPr>
      <xdr:grpSpPr>
        <a:xfrm>
          <a:off x="12942277" y="87290032"/>
          <a:ext cx="3423139" cy="2420815"/>
          <a:chOff x="4076700" y="20631150"/>
          <a:chExt cx="1743075" cy="1409700"/>
        </a:xfrm>
        <a:solidFill>
          <a:schemeClr val="accent3"/>
        </a:solidFill>
      </xdr:grpSpPr>
      <xdr:sp macro="" textlink="">
        <xdr:nvSpPr>
          <xdr:cNvPr id="1236" name="Rectangle 1235">
            <a:extLst>
              <a:ext uri="{FF2B5EF4-FFF2-40B4-BE49-F238E27FC236}">
                <a16:creationId xmlns:a16="http://schemas.microsoft.com/office/drawing/2014/main" id="{FBDBA490-A826-C337-D057-A30E9158D581}"/>
              </a:ext>
            </a:extLst>
          </xdr:cNvPr>
          <xdr:cNvSpPr/>
        </xdr:nvSpPr>
        <xdr:spPr>
          <a:xfrm>
            <a:off x="4076700" y="20631150"/>
            <a:ext cx="1743075" cy="1409700"/>
          </a:xfrm>
          <a:prstGeom prst="rect">
            <a:avLst/>
          </a:prstGeom>
          <a:grp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237" name="Picture 318">
            <a:extLst>
              <a:ext uri="{FF2B5EF4-FFF2-40B4-BE49-F238E27FC236}">
                <a16:creationId xmlns:a16="http://schemas.microsoft.com/office/drawing/2014/main" id="{046773A5-75DA-EB19-1E34-5A35A66CF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4257676" y="21108898"/>
            <a:ext cx="1000124" cy="789377"/>
          </a:xfrm>
          <a:prstGeom prst="rect">
            <a:avLst/>
          </a:prstGeom>
          <a:grpFill/>
          <a:ln>
            <a:noFill/>
          </a:ln>
        </xdr:spPr>
      </xdr:pic>
      <xdr:grpSp>
        <xdr:nvGrpSpPr>
          <xdr:cNvPr id="1238" name="Group 340">
            <a:extLst>
              <a:ext uri="{FF2B5EF4-FFF2-40B4-BE49-F238E27FC236}">
                <a16:creationId xmlns:a16="http://schemas.microsoft.com/office/drawing/2014/main" id="{FE16BA05-AB29-0161-C4B2-8D55DCE6A6E7}"/>
              </a:ext>
            </a:extLst>
          </xdr:cNvPr>
          <xdr:cNvGrpSpPr/>
        </xdr:nvGrpSpPr>
        <xdr:grpSpPr>
          <a:xfrm>
            <a:off x="5324475" y="20726400"/>
            <a:ext cx="342900" cy="274451"/>
            <a:chOff x="5622718" y="2886022"/>
            <a:chExt cx="577311" cy="554751"/>
          </a:xfrm>
          <a:grpFill/>
        </xdr:grpSpPr>
        <xdr:sp macro="" textlink="">
          <xdr:nvSpPr>
            <xdr:cNvPr id="1239" name="Rectangle 80">
              <a:extLst>
                <a:ext uri="{FF2B5EF4-FFF2-40B4-BE49-F238E27FC236}">
                  <a16:creationId xmlns:a16="http://schemas.microsoft.com/office/drawing/2014/main" id="{24D0F08F-4B53-8D2D-8EB1-CC3EA5698D38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22718" y="2886022"/>
              <a:ext cx="577311" cy="554751"/>
            </a:xfrm>
            <a:prstGeom prst="roundRect">
              <a:avLst/>
            </a:prstGeom>
            <a:grpFill/>
            <a:ln w="28575" algn="ctr">
              <a:solidFill>
                <a:schemeClr val="tx1"/>
              </a:solidFill>
              <a:miter lim="800000"/>
              <a:headEnd/>
              <a:tailEnd/>
            </a:ln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Bef>
                  <a:spcPct val="0"/>
                </a:spcBef>
              </a:pPr>
              <a:endParaRPr lang="en-US" altLang="en-US" sz="1245">
                <a:latin typeface="Arial" panose="020B0604020202020204" pitchFamily="34" charset="0"/>
              </a:endParaRPr>
            </a:p>
          </xdr:txBody>
        </xdr:sp>
        <xdr:grpSp>
          <xdr:nvGrpSpPr>
            <xdr:cNvPr id="1240" name="Graphic 13">
              <a:extLst>
                <a:ext uri="{FF2B5EF4-FFF2-40B4-BE49-F238E27FC236}">
                  <a16:creationId xmlns:a16="http://schemas.microsoft.com/office/drawing/2014/main" id="{27B14182-6346-7582-8198-8DE403E47708}"/>
                </a:ext>
              </a:extLst>
            </xdr:cNvPr>
            <xdr:cNvGrpSpPr/>
          </xdr:nvGrpSpPr>
          <xdr:grpSpPr>
            <a:xfrm>
              <a:off x="5714234" y="2962446"/>
              <a:ext cx="394287" cy="394287"/>
              <a:chOff x="5774080" y="2944851"/>
              <a:chExt cx="312942" cy="312942"/>
            </a:xfrm>
            <a:grpFill/>
          </xdr:grpSpPr>
          <xdr:sp macro="" textlink="">
            <xdr:nvSpPr>
              <xdr:cNvPr id="1241" name="Freeform: Shape 343">
                <a:extLst>
                  <a:ext uri="{FF2B5EF4-FFF2-40B4-BE49-F238E27FC236}">
                    <a16:creationId xmlns:a16="http://schemas.microsoft.com/office/drawing/2014/main" id="{16D32919-698D-8AC0-5CFE-32EE351ADBA1}"/>
                  </a:ext>
                </a:extLst>
              </xdr:cNvPr>
              <xdr:cNvSpPr/>
            </xdr:nvSpPr>
            <xdr:spPr>
              <a:xfrm>
                <a:off x="5778762" y="2949533"/>
                <a:ext cx="308260" cy="308260"/>
              </a:xfrm>
              <a:custGeom>
                <a:avLst/>
                <a:gdLst>
                  <a:gd name="connsiteX0" fmla="*/ 308260 w 308260"/>
                  <a:gd name="connsiteY0" fmla="*/ 154130 h 308260"/>
                  <a:gd name="connsiteX1" fmla="*/ 154130 w 308260"/>
                  <a:gd name="connsiteY1" fmla="*/ 308260 h 308260"/>
                  <a:gd name="connsiteX2" fmla="*/ 0 w 308260"/>
                  <a:gd name="connsiteY2" fmla="*/ 154130 h 308260"/>
                  <a:gd name="connsiteX3" fmla="*/ 154130 w 308260"/>
                  <a:gd name="connsiteY3" fmla="*/ 0 h 308260"/>
                  <a:gd name="connsiteX4" fmla="*/ 308260 w 308260"/>
                  <a:gd name="connsiteY4" fmla="*/ 154130 h 30826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308260" h="308260">
                    <a:moveTo>
                      <a:pt x="308260" y="154130"/>
                    </a:moveTo>
                    <a:cubicBezTo>
                      <a:pt x="308260" y="239254"/>
                      <a:pt x="239254" y="308260"/>
                      <a:pt x="154130" y="308260"/>
                    </a:cubicBezTo>
                    <a:cubicBezTo>
                      <a:pt x="69006" y="308260"/>
                      <a:pt x="0" y="239254"/>
                      <a:pt x="0" y="154130"/>
                    </a:cubicBezTo>
                    <a:cubicBezTo>
                      <a:pt x="0" y="69006"/>
                      <a:pt x="69006" y="0"/>
                      <a:pt x="154130" y="0"/>
                    </a:cubicBezTo>
                    <a:cubicBezTo>
                      <a:pt x="239254" y="0"/>
                      <a:pt x="308260" y="69006"/>
                      <a:pt x="308260" y="154130"/>
                    </a:cubicBezTo>
                    <a:close/>
                  </a:path>
                </a:pathLst>
              </a:custGeom>
              <a:grpFill/>
              <a:ln w="25400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grpSp>
            <xdr:nvGrpSpPr>
              <xdr:cNvPr id="1242" name="Graphic 13">
                <a:extLst>
                  <a:ext uri="{FF2B5EF4-FFF2-40B4-BE49-F238E27FC236}">
                    <a16:creationId xmlns:a16="http://schemas.microsoft.com/office/drawing/2014/main" id="{F8201322-5BA4-5853-8D35-AE4CEFCF3AD6}"/>
                  </a:ext>
                </a:extLst>
              </xdr:cNvPr>
              <xdr:cNvGrpSpPr/>
            </xdr:nvGrpSpPr>
            <xdr:grpSpPr>
              <a:xfrm>
                <a:off x="5932893" y="2969607"/>
                <a:ext cx="3121" cy="268112"/>
                <a:chOff x="5932893" y="2969607"/>
                <a:chExt cx="3121" cy="268112"/>
              </a:xfrm>
              <a:grpFill/>
            </xdr:grpSpPr>
            <xdr:sp macro="" textlink="">
              <xdr:nvSpPr>
                <xdr:cNvPr id="1248" name="Freeform: Shape 350">
                  <a:extLst>
                    <a:ext uri="{FF2B5EF4-FFF2-40B4-BE49-F238E27FC236}">
                      <a16:creationId xmlns:a16="http://schemas.microsoft.com/office/drawing/2014/main" id="{BB1DB2BE-FABB-5C06-1404-F11163A4F1CE}"/>
                    </a:ext>
                  </a:extLst>
                </xdr:cNvPr>
                <xdr:cNvSpPr/>
              </xdr:nvSpPr>
              <xdr:spPr>
                <a:xfrm>
                  <a:off x="5932893" y="2969607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1249" name="Freeform: Shape 351">
                  <a:extLst>
                    <a:ext uri="{FF2B5EF4-FFF2-40B4-BE49-F238E27FC236}">
                      <a16:creationId xmlns:a16="http://schemas.microsoft.com/office/drawing/2014/main" id="{F44EDC74-8EE6-B4CA-FE65-47FB3044E22F}"/>
                    </a:ext>
                  </a:extLst>
                </xdr:cNvPr>
                <xdr:cNvSpPr/>
              </xdr:nvSpPr>
              <xdr:spPr>
                <a:xfrm>
                  <a:off x="5932893" y="3210434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grpSp>
            <xdr:nvGrpSpPr>
              <xdr:cNvPr id="1243" name="Graphic 13">
                <a:extLst>
                  <a:ext uri="{FF2B5EF4-FFF2-40B4-BE49-F238E27FC236}">
                    <a16:creationId xmlns:a16="http://schemas.microsoft.com/office/drawing/2014/main" id="{E2E2AAE9-C097-3451-E0F7-32288D5A05F8}"/>
                  </a:ext>
                </a:extLst>
              </xdr:cNvPr>
              <xdr:cNvGrpSpPr/>
            </xdr:nvGrpSpPr>
            <xdr:grpSpPr>
              <a:xfrm>
                <a:off x="5798836" y="3103664"/>
                <a:ext cx="268112" cy="3121"/>
                <a:chOff x="5798836" y="3103664"/>
                <a:chExt cx="268112" cy="3121"/>
              </a:xfrm>
              <a:grpFill/>
            </xdr:grpSpPr>
            <xdr:sp macro="" textlink="">
              <xdr:nvSpPr>
                <xdr:cNvPr id="1246" name="Freeform: Shape 348">
                  <a:extLst>
                    <a:ext uri="{FF2B5EF4-FFF2-40B4-BE49-F238E27FC236}">
                      <a16:creationId xmlns:a16="http://schemas.microsoft.com/office/drawing/2014/main" id="{7F26E5E3-5E7F-9887-5FD4-4F84A2AAAE0C}"/>
                    </a:ext>
                  </a:extLst>
                </xdr:cNvPr>
                <xdr:cNvSpPr/>
              </xdr:nvSpPr>
              <xdr:spPr>
                <a:xfrm>
                  <a:off x="5798836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1247" name="Freeform: Shape 349">
                  <a:extLst>
                    <a:ext uri="{FF2B5EF4-FFF2-40B4-BE49-F238E27FC236}">
                      <a16:creationId xmlns:a16="http://schemas.microsoft.com/office/drawing/2014/main" id="{69975699-6F23-47B7-2547-EE47FB9E4882}"/>
                    </a:ext>
                  </a:extLst>
                </xdr:cNvPr>
                <xdr:cNvSpPr/>
              </xdr:nvSpPr>
              <xdr:spPr>
                <a:xfrm>
                  <a:off x="6039663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sp macro="" textlink="">
            <xdr:nvSpPr>
              <xdr:cNvPr id="1244" name="Freeform: Shape 346">
                <a:extLst>
                  <a:ext uri="{FF2B5EF4-FFF2-40B4-BE49-F238E27FC236}">
                    <a16:creationId xmlns:a16="http://schemas.microsoft.com/office/drawing/2014/main" id="{719B1B02-8594-8331-FF04-B79E7C1F0593}"/>
                  </a:ext>
                </a:extLst>
              </xdr:cNvPr>
              <xdr:cNvSpPr/>
            </xdr:nvSpPr>
            <xdr:spPr>
              <a:xfrm>
                <a:off x="5932893" y="3027957"/>
                <a:ext cx="63625" cy="82544"/>
              </a:xfrm>
              <a:custGeom>
                <a:avLst/>
                <a:gdLst>
                  <a:gd name="connsiteX0" fmla="*/ 0 w 63625"/>
                  <a:gd name="connsiteY0" fmla="*/ 0 h 82544"/>
                  <a:gd name="connsiteX1" fmla="*/ 0 w 63625"/>
                  <a:gd name="connsiteY1" fmla="*/ 82544 h 82544"/>
                  <a:gd name="connsiteX2" fmla="*/ 63625 w 63625"/>
                  <a:gd name="connsiteY2" fmla="*/ 58318 h 8254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63625" h="82544">
                    <a:moveTo>
                      <a:pt x="0" y="0"/>
                    </a:moveTo>
                    <a:lnTo>
                      <a:pt x="0" y="82544"/>
                    </a:lnTo>
                    <a:lnTo>
                      <a:pt x="63625" y="58318"/>
                    </a:lnTo>
                  </a:path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sp macro="" textlink="">
            <xdr:nvSpPr>
              <xdr:cNvPr id="1245" name="Freeform: Shape 347">
                <a:extLst>
                  <a:ext uri="{FF2B5EF4-FFF2-40B4-BE49-F238E27FC236}">
                    <a16:creationId xmlns:a16="http://schemas.microsoft.com/office/drawing/2014/main" id="{E101BF1E-5142-294A-9887-39DA0E39987E}"/>
                  </a:ext>
                </a:extLst>
              </xdr:cNvPr>
              <xdr:cNvSpPr/>
            </xdr:nvSpPr>
            <xdr:spPr>
              <a:xfrm>
                <a:off x="5774080" y="2944851"/>
                <a:ext cx="3121" cy="3121"/>
              </a:xfrm>
              <a:custGeom>
                <a:avLst/>
                <a:gdLst/>
                <a:ahLst/>
                <a:cxnLst/>
                <a:rect l="l" t="t" r="r" b="b"/>
                <a:pathLst>
                  <a:path w="3121" h="3121"/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</xdr:grpSp>
      </xdr:grpSp>
    </xdr:grpSp>
    <xdr:clientData/>
  </xdr:twoCellAnchor>
  <xdr:twoCellAnchor>
    <xdr:from>
      <xdr:col>13</xdr:col>
      <xdr:colOff>2819400</xdr:colOff>
      <xdr:row>152</xdr:row>
      <xdr:rowOff>76200</xdr:rowOff>
    </xdr:from>
    <xdr:to>
      <xdr:col>14</xdr:col>
      <xdr:colOff>3200400</xdr:colOff>
      <xdr:row>152</xdr:row>
      <xdr:rowOff>152400</xdr:rowOff>
    </xdr:to>
    <xdr:cxnSp macro="">
      <xdr:nvCxnSpPr>
        <xdr:cNvPr id="1250" name="Straight Arrow Connector 527">
          <a:extLst>
            <a:ext uri="{FF2B5EF4-FFF2-40B4-BE49-F238E27FC236}">
              <a16:creationId xmlns:a16="http://schemas.microsoft.com/office/drawing/2014/main" id="{2309B3CE-D082-4939-84B3-DF7072D87820}"/>
            </a:ext>
          </a:extLst>
        </xdr:cNvPr>
        <xdr:cNvCxnSpPr/>
      </xdr:nvCxnSpPr>
      <xdr:spPr>
        <a:xfrm>
          <a:off x="16230600" y="81305400"/>
          <a:ext cx="4038600" cy="76200"/>
        </a:xfrm>
        <a:prstGeom prst="straightConnector1">
          <a:avLst/>
        </a:prstGeom>
        <a:ln w="5715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3305908</xdr:colOff>
      <xdr:row>150</xdr:row>
      <xdr:rowOff>11722</xdr:rowOff>
    </xdr:from>
    <xdr:to>
      <xdr:col>14</xdr:col>
      <xdr:colOff>5288202</xdr:colOff>
      <xdr:row>153</xdr:row>
      <xdr:rowOff>147705</xdr:rowOff>
    </xdr:to>
    <xdr:grpSp>
      <xdr:nvGrpSpPr>
        <xdr:cNvPr id="1251" name="Group 252">
          <a:extLst>
            <a:ext uri="{FF2B5EF4-FFF2-40B4-BE49-F238E27FC236}">
              <a16:creationId xmlns:a16="http://schemas.microsoft.com/office/drawing/2014/main" id="{C4CCCE90-CCC2-49A0-8185-E8609A57867B}"/>
            </a:ext>
          </a:extLst>
        </xdr:cNvPr>
        <xdr:cNvGrpSpPr/>
      </xdr:nvGrpSpPr>
      <xdr:grpSpPr>
        <a:xfrm>
          <a:off x="20374708" y="87184522"/>
          <a:ext cx="1982294" cy="2574383"/>
          <a:chOff x="4152900" y="18545175"/>
          <a:chExt cx="1743075" cy="1409700"/>
        </a:xfrm>
      </xdr:grpSpPr>
      <xdr:sp macro="" textlink="">
        <xdr:nvSpPr>
          <xdr:cNvPr id="1252" name="Rectangle 1251">
            <a:extLst>
              <a:ext uri="{FF2B5EF4-FFF2-40B4-BE49-F238E27FC236}">
                <a16:creationId xmlns:a16="http://schemas.microsoft.com/office/drawing/2014/main" id="{0B8F0F02-048B-5FCD-088D-D6655D7763EE}"/>
              </a:ext>
            </a:extLst>
          </xdr:cNvPr>
          <xdr:cNvSpPr/>
        </xdr:nvSpPr>
        <xdr:spPr>
          <a:xfrm>
            <a:off x="4152900" y="1854517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1253" name="Group 251">
            <a:extLst>
              <a:ext uri="{FF2B5EF4-FFF2-40B4-BE49-F238E27FC236}">
                <a16:creationId xmlns:a16="http://schemas.microsoft.com/office/drawing/2014/main" id="{5E6C6A7F-F3B8-378E-395B-5E4DD43510AC}"/>
              </a:ext>
            </a:extLst>
          </xdr:cNvPr>
          <xdr:cNvGrpSpPr/>
        </xdr:nvGrpSpPr>
        <xdr:grpSpPr>
          <a:xfrm>
            <a:off x="4848224" y="18735676"/>
            <a:ext cx="381001" cy="1066799"/>
            <a:chOff x="4867274" y="18630901"/>
            <a:chExt cx="381001" cy="1066799"/>
          </a:xfrm>
        </xdr:grpSpPr>
        <xdr:grpSp>
          <xdr:nvGrpSpPr>
            <xdr:cNvPr id="1254" name="Group 248">
              <a:extLst>
                <a:ext uri="{FF2B5EF4-FFF2-40B4-BE49-F238E27FC236}">
                  <a16:creationId xmlns:a16="http://schemas.microsoft.com/office/drawing/2014/main" id="{752AD7DA-80D3-0B9F-D248-44C2F16F8AAC}"/>
                </a:ext>
              </a:extLst>
            </xdr:cNvPr>
            <xdr:cNvGrpSpPr/>
          </xdr:nvGrpSpPr>
          <xdr:grpSpPr>
            <a:xfrm>
              <a:off x="4867275" y="18630901"/>
              <a:ext cx="380999" cy="800100"/>
              <a:chOff x="4933950" y="18811876"/>
              <a:chExt cx="380999" cy="971549"/>
            </a:xfrm>
          </xdr:grpSpPr>
          <xdr:grpSp>
            <xdr:nvGrpSpPr>
              <xdr:cNvPr id="1256" name="Group 239">
                <a:extLst>
                  <a:ext uri="{FF2B5EF4-FFF2-40B4-BE49-F238E27FC236}">
                    <a16:creationId xmlns:a16="http://schemas.microsoft.com/office/drawing/2014/main" id="{F3FE4FA1-CBAA-A041-3C2E-04F1A7CD0F91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33950" y="18811876"/>
                <a:ext cx="380999" cy="971549"/>
                <a:chOff x="339" y="1152"/>
                <a:chExt cx="147" cy="433"/>
              </a:xfrm>
            </xdr:grpSpPr>
            <xdr:sp macro="" textlink="">
              <xdr:nvSpPr>
                <xdr:cNvPr id="1258" name="Line 11">
                  <a:extLst>
                    <a:ext uri="{FF2B5EF4-FFF2-40B4-BE49-F238E27FC236}">
                      <a16:creationId xmlns:a16="http://schemas.microsoft.com/office/drawing/2014/main" id="{BC590D01-0F95-C8A4-17A5-7E52C0A9E3CF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486" y="1152"/>
                  <a:ext cx="0" cy="432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259" name="Line 12">
                  <a:extLst>
                    <a:ext uri="{FF2B5EF4-FFF2-40B4-BE49-F238E27FC236}">
                      <a16:creationId xmlns:a16="http://schemas.microsoft.com/office/drawing/2014/main" id="{DCB2BC71-4354-AA85-0BCA-660FF51632AC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584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260" name="Line 13">
                  <a:extLst>
                    <a:ext uri="{FF2B5EF4-FFF2-40B4-BE49-F238E27FC236}">
                      <a16:creationId xmlns:a16="http://schemas.microsoft.com/office/drawing/2014/main" id="{A6E30030-1AE0-3C2C-1D96-065DBF9D3848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440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261" name="Line 14">
                  <a:extLst>
                    <a:ext uri="{FF2B5EF4-FFF2-40B4-BE49-F238E27FC236}">
                      <a16:creationId xmlns:a16="http://schemas.microsoft.com/office/drawing/2014/main" id="{F6458BDE-5EA4-E10A-D30C-432D25D152BD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296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262" name="Line 15">
                  <a:extLst>
                    <a:ext uri="{FF2B5EF4-FFF2-40B4-BE49-F238E27FC236}">
                      <a16:creationId xmlns:a16="http://schemas.microsoft.com/office/drawing/2014/main" id="{12EFA78B-1E80-2447-8CD1-C217E55C0532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152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</xdr:grpSp>
          <xdr:cxnSp macro="">
            <xdr:nvCxnSpPr>
              <xdr:cNvPr id="1257" name="Straight Connector 246">
                <a:extLst>
                  <a:ext uri="{FF2B5EF4-FFF2-40B4-BE49-F238E27FC236}">
                    <a16:creationId xmlns:a16="http://schemas.microsoft.com/office/drawing/2014/main" id="{5232042A-B531-9952-B530-B1BBDD10A115}"/>
                  </a:ext>
                </a:extLst>
              </xdr:cNvPr>
              <xdr:cNvCxnSpPr>
                <a:stCxn id="1262" idx="1"/>
                <a:endCxn id="1259" idx="1"/>
              </xdr:cNvCxnSpPr>
            </xdr:nvCxnSpPr>
            <xdr:spPr>
              <a:xfrm>
                <a:off x="4933950" y="18814120"/>
                <a:ext cx="0" cy="969305"/>
              </a:xfrm>
              <a:prstGeom prst="line">
                <a:avLst/>
              </a:prstGeom>
              <a:ln w="28575"/>
            </xdr:spPr>
            <xdr:style>
              <a:lnRef idx="3">
                <a:schemeClr val="dk1"/>
              </a:lnRef>
              <a:fillRef idx="0">
                <a:schemeClr val="dk1"/>
              </a:fillRef>
              <a:effectRef idx="2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255" name="Rectangle 1254">
              <a:extLst>
                <a:ext uri="{FF2B5EF4-FFF2-40B4-BE49-F238E27FC236}">
                  <a16:creationId xmlns:a16="http://schemas.microsoft.com/office/drawing/2014/main" id="{C94DF2EB-BFE8-3EF8-11D0-0B128505FEFD}"/>
                </a:ext>
              </a:extLst>
            </xdr:cNvPr>
            <xdr:cNvSpPr/>
          </xdr:nvSpPr>
          <xdr:spPr>
            <a:xfrm>
              <a:off x="4867274" y="19431000"/>
              <a:ext cx="381001" cy="266700"/>
            </a:xfrm>
            <a:prstGeom prst="rect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14</xdr:col>
      <xdr:colOff>5288202</xdr:colOff>
      <xdr:row>151</xdr:row>
      <xdr:rowOff>873464</xdr:rowOff>
    </xdr:from>
    <xdr:to>
      <xdr:col>19</xdr:col>
      <xdr:colOff>317500</xdr:colOff>
      <xdr:row>151</xdr:row>
      <xdr:rowOff>889000</xdr:rowOff>
    </xdr:to>
    <xdr:cxnSp macro="">
      <xdr:nvCxnSpPr>
        <xdr:cNvPr id="1264" name="Straight Arrow Connector 527">
          <a:extLst>
            <a:ext uri="{FF2B5EF4-FFF2-40B4-BE49-F238E27FC236}">
              <a16:creationId xmlns:a16="http://schemas.microsoft.com/office/drawing/2014/main" id="{4D562A6E-160C-49BD-8663-9CC218560A5F}"/>
            </a:ext>
          </a:extLst>
        </xdr:cNvPr>
        <xdr:cNvCxnSpPr>
          <a:stCxn id="1252" idx="3"/>
        </xdr:cNvCxnSpPr>
      </xdr:nvCxnSpPr>
      <xdr:spPr>
        <a:xfrm>
          <a:off x="22115702" y="82470964"/>
          <a:ext cx="6205298" cy="15536"/>
        </a:xfrm>
        <a:prstGeom prst="straightConnector1">
          <a:avLst/>
        </a:prstGeom>
        <a:ln w="5715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1270279</xdr:colOff>
      <xdr:row>74</xdr:row>
      <xdr:rowOff>401934</xdr:rowOff>
    </xdr:from>
    <xdr:to>
      <xdr:col>40</xdr:col>
      <xdr:colOff>2564120</xdr:colOff>
      <xdr:row>81</xdr:row>
      <xdr:rowOff>258545</xdr:rowOff>
    </xdr:to>
    <xdr:grpSp>
      <xdr:nvGrpSpPr>
        <xdr:cNvPr id="1267" name="Group 23">
          <a:extLst>
            <a:ext uri="{FF2B5EF4-FFF2-40B4-BE49-F238E27FC236}">
              <a16:creationId xmlns:a16="http://schemas.microsoft.com/office/drawing/2014/main" id="{69B00FA3-BB22-4F58-AAFF-4400E80400F4}"/>
            </a:ext>
          </a:extLst>
        </xdr:cNvPr>
        <xdr:cNvGrpSpPr/>
      </xdr:nvGrpSpPr>
      <xdr:grpSpPr>
        <a:xfrm>
          <a:off x="140487679" y="42159534"/>
          <a:ext cx="11123641" cy="3057011"/>
          <a:chOff x="1863655" y="3857625"/>
          <a:chExt cx="1070045" cy="742950"/>
        </a:xfrm>
        <a:solidFill>
          <a:schemeClr val="accent1">
            <a:lumMod val="40000"/>
            <a:lumOff val="60000"/>
          </a:schemeClr>
        </a:solidFill>
      </xdr:grpSpPr>
      <xdr:sp macro="" textlink="">
        <xdr:nvSpPr>
          <xdr:cNvPr id="1268" name="Freeform: Shape 18">
            <a:extLst>
              <a:ext uri="{FF2B5EF4-FFF2-40B4-BE49-F238E27FC236}">
                <a16:creationId xmlns:a16="http://schemas.microsoft.com/office/drawing/2014/main" id="{8DDFB83A-166F-F558-9198-66D3F7041A4A}"/>
              </a:ext>
            </a:extLst>
          </xdr:cNvPr>
          <xdr:cNvSpPr/>
        </xdr:nvSpPr>
        <xdr:spPr>
          <a:xfrm>
            <a:off x="1863655" y="3857625"/>
            <a:ext cx="1070045" cy="742950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 b="1">
              <a:solidFill>
                <a:schemeClr val="tx1"/>
              </a:solidFill>
              <a:effectLst/>
            </a:endParaRPr>
          </a:p>
        </xdr:txBody>
      </xdr:sp>
      <xdr:sp macro="" textlink="">
        <xdr:nvSpPr>
          <xdr:cNvPr id="1269" name="Rectangle 1268">
            <a:extLst>
              <a:ext uri="{FF2B5EF4-FFF2-40B4-BE49-F238E27FC236}">
                <a16:creationId xmlns:a16="http://schemas.microsoft.com/office/drawing/2014/main" id="{736B81EC-B03C-4E6D-8FB9-8E05BA53C87B}"/>
              </a:ext>
            </a:extLst>
          </xdr:cNvPr>
          <xdr:cNvSpPr/>
        </xdr:nvSpPr>
        <xdr:spPr>
          <a:xfrm>
            <a:off x="1997032" y="4282284"/>
            <a:ext cx="859936" cy="31179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4000" b="1">
                <a:latin typeface="Times New Roman" panose="02020603050405020304" pitchFamily="18" charset="0"/>
                <a:cs typeface="Times New Roman" panose="02020603050405020304" pitchFamily="18" charset="0"/>
              </a:rPr>
              <a:t>ZONE</a:t>
            </a:r>
            <a:r>
              <a:rPr lang="fr-FR" sz="40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D'ASSAMBLAGE</a:t>
            </a:r>
            <a:endParaRPr lang="fr-FR" sz="40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39</xdr:col>
      <xdr:colOff>843224</xdr:colOff>
      <xdr:row>81</xdr:row>
      <xdr:rowOff>325734</xdr:rowOff>
    </xdr:from>
    <xdr:to>
      <xdr:col>39</xdr:col>
      <xdr:colOff>1297304</xdr:colOff>
      <xdr:row>87</xdr:row>
      <xdr:rowOff>210943</xdr:rowOff>
    </xdr:to>
    <xdr:sp macro="" textlink="">
      <xdr:nvSpPr>
        <xdr:cNvPr id="1270" name="Arrow: Right 167">
          <a:extLst>
            <a:ext uri="{FF2B5EF4-FFF2-40B4-BE49-F238E27FC236}">
              <a16:creationId xmlns:a16="http://schemas.microsoft.com/office/drawing/2014/main" id="{BF79DB23-52BF-4F36-980D-970550A4CD16}"/>
            </a:ext>
          </a:extLst>
        </xdr:cNvPr>
        <xdr:cNvSpPr/>
      </xdr:nvSpPr>
      <xdr:spPr>
        <a:xfrm rot="16200000">
          <a:off x="119999660" y="39338727"/>
          <a:ext cx="2497780" cy="454080"/>
        </a:xfrm>
        <a:prstGeom prst="rightArrow">
          <a:avLst/>
        </a:prstGeom>
        <a:solidFill>
          <a:schemeClr val="bg1"/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38</xdr:col>
      <xdr:colOff>1695660</xdr:colOff>
      <xdr:row>86</xdr:row>
      <xdr:rowOff>212689</xdr:rowOff>
    </xdr:from>
    <xdr:to>
      <xdr:col>39</xdr:col>
      <xdr:colOff>2454752</xdr:colOff>
      <xdr:row>90</xdr:row>
      <xdr:rowOff>46013</xdr:rowOff>
    </xdr:to>
    <xdr:grpSp>
      <xdr:nvGrpSpPr>
        <xdr:cNvPr id="1271" name="Group 352">
          <a:extLst>
            <a:ext uri="{FF2B5EF4-FFF2-40B4-BE49-F238E27FC236}">
              <a16:creationId xmlns:a16="http://schemas.microsoft.com/office/drawing/2014/main" id="{433FD595-E69D-42D6-870A-97C288E1B3A9}"/>
            </a:ext>
          </a:extLst>
        </xdr:cNvPr>
        <xdr:cNvGrpSpPr/>
      </xdr:nvGrpSpPr>
      <xdr:grpSpPr>
        <a:xfrm>
          <a:off x="144570660" y="47456689"/>
          <a:ext cx="2664092" cy="1662124"/>
          <a:chOff x="4076700" y="20631150"/>
          <a:chExt cx="1743075" cy="1409700"/>
        </a:xfrm>
        <a:solidFill>
          <a:schemeClr val="accent3"/>
        </a:solidFill>
      </xdr:grpSpPr>
      <xdr:sp macro="" textlink="">
        <xdr:nvSpPr>
          <xdr:cNvPr id="1272" name="Rectangle 1271">
            <a:extLst>
              <a:ext uri="{FF2B5EF4-FFF2-40B4-BE49-F238E27FC236}">
                <a16:creationId xmlns:a16="http://schemas.microsoft.com/office/drawing/2014/main" id="{13A5A898-5672-B16F-0AD9-034FEC440953}"/>
              </a:ext>
            </a:extLst>
          </xdr:cNvPr>
          <xdr:cNvSpPr/>
        </xdr:nvSpPr>
        <xdr:spPr>
          <a:xfrm>
            <a:off x="4076700" y="20631150"/>
            <a:ext cx="1743075" cy="1409700"/>
          </a:xfrm>
          <a:prstGeom prst="rect">
            <a:avLst/>
          </a:prstGeom>
          <a:grp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273" name="Picture 318">
            <a:extLst>
              <a:ext uri="{FF2B5EF4-FFF2-40B4-BE49-F238E27FC236}">
                <a16:creationId xmlns:a16="http://schemas.microsoft.com/office/drawing/2014/main" id="{A453D830-11DE-5B14-4865-F40AB59AD3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4257676" y="21108898"/>
            <a:ext cx="1000124" cy="789377"/>
          </a:xfrm>
          <a:prstGeom prst="rect">
            <a:avLst/>
          </a:prstGeom>
          <a:grpFill/>
          <a:ln>
            <a:noFill/>
          </a:ln>
        </xdr:spPr>
      </xdr:pic>
      <xdr:grpSp>
        <xdr:nvGrpSpPr>
          <xdr:cNvPr id="1274" name="Group 340">
            <a:extLst>
              <a:ext uri="{FF2B5EF4-FFF2-40B4-BE49-F238E27FC236}">
                <a16:creationId xmlns:a16="http://schemas.microsoft.com/office/drawing/2014/main" id="{4A8A5BB2-BC25-BE9F-5EA3-CB4FB4E90089}"/>
              </a:ext>
            </a:extLst>
          </xdr:cNvPr>
          <xdr:cNvGrpSpPr/>
        </xdr:nvGrpSpPr>
        <xdr:grpSpPr>
          <a:xfrm>
            <a:off x="5324475" y="20726400"/>
            <a:ext cx="342900" cy="274451"/>
            <a:chOff x="5622718" y="2886022"/>
            <a:chExt cx="577311" cy="554751"/>
          </a:xfrm>
          <a:grpFill/>
        </xdr:grpSpPr>
        <xdr:sp macro="" textlink="">
          <xdr:nvSpPr>
            <xdr:cNvPr id="1275" name="Rectangle 80">
              <a:extLst>
                <a:ext uri="{FF2B5EF4-FFF2-40B4-BE49-F238E27FC236}">
                  <a16:creationId xmlns:a16="http://schemas.microsoft.com/office/drawing/2014/main" id="{A4190881-B4AF-0D51-B36C-2F92A50EB57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22718" y="2886022"/>
              <a:ext cx="577311" cy="554751"/>
            </a:xfrm>
            <a:prstGeom prst="roundRect">
              <a:avLst/>
            </a:prstGeom>
            <a:grpFill/>
            <a:ln w="28575" algn="ctr">
              <a:solidFill>
                <a:schemeClr val="tx1"/>
              </a:solidFill>
              <a:miter lim="800000"/>
              <a:headEnd/>
              <a:tailEnd/>
            </a:ln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Bef>
                  <a:spcPct val="0"/>
                </a:spcBef>
              </a:pPr>
              <a:endParaRPr lang="en-US" altLang="en-US" sz="1245">
                <a:latin typeface="Arial" panose="020B0604020202020204" pitchFamily="34" charset="0"/>
              </a:endParaRPr>
            </a:p>
          </xdr:txBody>
        </xdr:sp>
        <xdr:grpSp>
          <xdr:nvGrpSpPr>
            <xdr:cNvPr id="1276" name="Graphic 13">
              <a:extLst>
                <a:ext uri="{FF2B5EF4-FFF2-40B4-BE49-F238E27FC236}">
                  <a16:creationId xmlns:a16="http://schemas.microsoft.com/office/drawing/2014/main" id="{875D4C86-358B-D466-7DA2-FCCC1FD8680B}"/>
                </a:ext>
              </a:extLst>
            </xdr:cNvPr>
            <xdr:cNvGrpSpPr/>
          </xdr:nvGrpSpPr>
          <xdr:grpSpPr>
            <a:xfrm>
              <a:off x="5714234" y="2962446"/>
              <a:ext cx="394287" cy="394287"/>
              <a:chOff x="5774080" y="2944851"/>
              <a:chExt cx="312942" cy="312942"/>
            </a:xfrm>
            <a:grpFill/>
          </xdr:grpSpPr>
          <xdr:sp macro="" textlink="">
            <xdr:nvSpPr>
              <xdr:cNvPr id="1277" name="Freeform: Shape 343">
                <a:extLst>
                  <a:ext uri="{FF2B5EF4-FFF2-40B4-BE49-F238E27FC236}">
                    <a16:creationId xmlns:a16="http://schemas.microsoft.com/office/drawing/2014/main" id="{859D0B95-EF9E-6FFB-E9CC-2123D7996212}"/>
                  </a:ext>
                </a:extLst>
              </xdr:cNvPr>
              <xdr:cNvSpPr/>
            </xdr:nvSpPr>
            <xdr:spPr>
              <a:xfrm>
                <a:off x="5778762" y="2949533"/>
                <a:ext cx="308260" cy="308260"/>
              </a:xfrm>
              <a:custGeom>
                <a:avLst/>
                <a:gdLst>
                  <a:gd name="connsiteX0" fmla="*/ 308260 w 308260"/>
                  <a:gd name="connsiteY0" fmla="*/ 154130 h 308260"/>
                  <a:gd name="connsiteX1" fmla="*/ 154130 w 308260"/>
                  <a:gd name="connsiteY1" fmla="*/ 308260 h 308260"/>
                  <a:gd name="connsiteX2" fmla="*/ 0 w 308260"/>
                  <a:gd name="connsiteY2" fmla="*/ 154130 h 308260"/>
                  <a:gd name="connsiteX3" fmla="*/ 154130 w 308260"/>
                  <a:gd name="connsiteY3" fmla="*/ 0 h 308260"/>
                  <a:gd name="connsiteX4" fmla="*/ 308260 w 308260"/>
                  <a:gd name="connsiteY4" fmla="*/ 154130 h 30826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308260" h="308260">
                    <a:moveTo>
                      <a:pt x="308260" y="154130"/>
                    </a:moveTo>
                    <a:cubicBezTo>
                      <a:pt x="308260" y="239254"/>
                      <a:pt x="239254" y="308260"/>
                      <a:pt x="154130" y="308260"/>
                    </a:cubicBezTo>
                    <a:cubicBezTo>
                      <a:pt x="69006" y="308260"/>
                      <a:pt x="0" y="239254"/>
                      <a:pt x="0" y="154130"/>
                    </a:cubicBezTo>
                    <a:cubicBezTo>
                      <a:pt x="0" y="69006"/>
                      <a:pt x="69006" y="0"/>
                      <a:pt x="154130" y="0"/>
                    </a:cubicBezTo>
                    <a:cubicBezTo>
                      <a:pt x="239254" y="0"/>
                      <a:pt x="308260" y="69006"/>
                      <a:pt x="308260" y="154130"/>
                    </a:cubicBezTo>
                    <a:close/>
                  </a:path>
                </a:pathLst>
              </a:custGeom>
              <a:grpFill/>
              <a:ln w="25400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grpSp>
            <xdr:nvGrpSpPr>
              <xdr:cNvPr id="1278" name="Graphic 13">
                <a:extLst>
                  <a:ext uri="{FF2B5EF4-FFF2-40B4-BE49-F238E27FC236}">
                    <a16:creationId xmlns:a16="http://schemas.microsoft.com/office/drawing/2014/main" id="{CAEE8027-A258-B6E4-3F82-F139897B5888}"/>
                  </a:ext>
                </a:extLst>
              </xdr:cNvPr>
              <xdr:cNvGrpSpPr/>
            </xdr:nvGrpSpPr>
            <xdr:grpSpPr>
              <a:xfrm>
                <a:off x="5932893" y="2969607"/>
                <a:ext cx="3121" cy="268112"/>
                <a:chOff x="5932893" y="2969607"/>
                <a:chExt cx="3121" cy="268112"/>
              </a:xfrm>
              <a:grpFill/>
            </xdr:grpSpPr>
            <xdr:sp macro="" textlink="">
              <xdr:nvSpPr>
                <xdr:cNvPr id="1284" name="Freeform: Shape 350">
                  <a:extLst>
                    <a:ext uri="{FF2B5EF4-FFF2-40B4-BE49-F238E27FC236}">
                      <a16:creationId xmlns:a16="http://schemas.microsoft.com/office/drawing/2014/main" id="{4841B355-A74F-FFC5-A346-2D928EA06DA0}"/>
                    </a:ext>
                  </a:extLst>
                </xdr:cNvPr>
                <xdr:cNvSpPr/>
              </xdr:nvSpPr>
              <xdr:spPr>
                <a:xfrm>
                  <a:off x="5932893" y="2969607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1285" name="Freeform: Shape 351">
                  <a:extLst>
                    <a:ext uri="{FF2B5EF4-FFF2-40B4-BE49-F238E27FC236}">
                      <a16:creationId xmlns:a16="http://schemas.microsoft.com/office/drawing/2014/main" id="{D650655B-D2C0-19B7-B355-7F5FBEB84B99}"/>
                    </a:ext>
                  </a:extLst>
                </xdr:cNvPr>
                <xdr:cNvSpPr/>
              </xdr:nvSpPr>
              <xdr:spPr>
                <a:xfrm>
                  <a:off x="5932893" y="3210434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grpSp>
            <xdr:nvGrpSpPr>
              <xdr:cNvPr id="1279" name="Graphic 13">
                <a:extLst>
                  <a:ext uri="{FF2B5EF4-FFF2-40B4-BE49-F238E27FC236}">
                    <a16:creationId xmlns:a16="http://schemas.microsoft.com/office/drawing/2014/main" id="{43019227-849D-B41C-7DDD-1A087E895201}"/>
                  </a:ext>
                </a:extLst>
              </xdr:cNvPr>
              <xdr:cNvGrpSpPr/>
            </xdr:nvGrpSpPr>
            <xdr:grpSpPr>
              <a:xfrm>
                <a:off x="5798836" y="3103664"/>
                <a:ext cx="268112" cy="3121"/>
                <a:chOff x="5798836" y="3103664"/>
                <a:chExt cx="268112" cy="3121"/>
              </a:xfrm>
              <a:grpFill/>
            </xdr:grpSpPr>
            <xdr:sp macro="" textlink="">
              <xdr:nvSpPr>
                <xdr:cNvPr id="1282" name="Freeform: Shape 348">
                  <a:extLst>
                    <a:ext uri="{FF2B5EF4-FFF2-40B4-BE49-F238E27FC236}">
                      <a16:creationId xmlns:a16="http://schemas.microsoft.com/office/drawing/2014/main" id="{8B553F99-0B23-E306-2768-50250E6D4453}"/>
                    </a:ext>
                  </a:extLst>
                </xdr:cNvPr>
                <xdr:cNvSpPr/>
              </xdr:nvSpPr>
              <xdr:spPr>
                <a:xfrm>
                  <a:off x="5798836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1283" name="Freeform: Shape 349">
                  <a:extLst>
                    <a:ext uri="{FF2B5EF4-FFF2-40B4-BE49-F238E27FC236}">
                      <a16:creationId xmlns:a16="http://schemas.microsoft.com/office/drawing/2014/main" id="{11918713-8F95-DF93-6F38-E37694186788}"/>
                    </a:ext>
                  </a:extLst>
                </xdr:cNvPr>
                <xdr:cNvSpPr/>
              </xdr:nvSpPr>
              <xdr:spPr>
                <a:xfrm>
                  <a:off x="6039663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sp macro="" textlink="">
            <xdr:nvSpPr>
              <xdr:cNvPr id="1280" name="Freeform: Shape 346">
                <a:extLst>
                  <a:ext uri="{FF2B5EF4-FFF2-40B4-BE49-F238E27FC236}">
                    <a16:creationId xmlns:a16="http://schemas.microsoft.com/office/drawing/2014/main" id="{90E76461-3CC4-6F0E-499B-6D023B2607CF}"/>
                  </a:ext>
                </a:extLst>
              </xdr:cNvPr>
              <xdr:cNvSpPr/>
            </xdr:nvSpPr>
            <xdr:spPr>
              <a:xfrm>
                <a:off x="5932893" y="3027957"/>
                <a:ext cx="63625" cy="82544"/>
              </a:xfrm>
              <a:custGeom>
                <a:avLst/>
                <a:gdLst>
                  <a:gd name="connsiteX0" fmla="*/ 0 w 63625"/>
                  <a:gd name="connsiteY0" fmla="*/ 0 h 82544"/>
                  <a:gd name="connsiteX1" fmla="*/ 0 w 63625"/>
                  <a:gd name="connsiteY1" fmla="*/ 82544 h 82544"/>
                  <a:gd name="connsiteX2" fmla="*/ 63625 w 63625"/>
                  <a:gd name="connsiteY2" fmla="*/ 58318 h 8254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63625" h="82544">
                    <a:moveTo>
                      <a:pt x="0" y="0"/>
                    </a:moveTo>
                    <a:lnTo>
                      <a:pt x="0" y="82544"/>
                    </a:lnTo>
                    <a:lnTo>
                      <a:pt x="63625" y="58318"/>
                    </a:lnTo>
                  </a:path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sp macro="" textlink="">
            <xdr:nvSpPr>
              <xdr:cNvPr id="1281" name="Freeform: Shape 347">
                <a:extLst>
                  <a:ext uri="{FF2B5EF4-FFF2-40B4-BE49-F238E27FC236}">
                    <a16:creationId xmlns:a16="http://schemas.microsoft.com/office/drawing/2014/main" id="{96DA8E94-59A6-22A0-16D5-1DACDD7BAFFD}"/>
                  </a:ext>
                </a:extLst>
              </xdr:cNvPr>
              <xdr:cNvSpPr/>
            </xdr:nvSpPr>
            <xdr:spPr>
              <a:xfrm>
                <a:off x="5774080" y="2944851"/>
                <a:ext cx="3121" cy="3121"/>
              </a:xfrm>
              <a:custGeom>
                <a:avLst/>
                <a:gdLst/>
                <a:ahLst/>
                <a:cxnLst/>
                <a:rect l="l" t="t" r="r" b="b"/>
                <a:pathLst>
                  <a:path w="3121" h="3121"/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</xdr:grpSp>
      </xdr:grpSp>
    </xdr:grpSp>
    <xdr:clientData/>
  </xdr:twoCellAnchor>
  <xdr:twoCellAnchor>
    <xdr:from>
      <xdr:col>39</xdr:col>
      <xdr:colOff>979714</xdr:colOff>
      <xdr:row>89</xdr:row>
      <xdr:rowOff>428729</xdr:rowOff>
    </xdr:from>
    <xdr:to>
      <xdr:col>39</xdr:col>
      <xdr:colOff>989699</xdr:colOff>
      <xdr:row>93</xdr:row>
      <xdr:rowOff>468150</xdr:rowOff>
    </xdr:to>
    <xdr:cxnSp macro="">
      <xdr:nvCxnSpPr>
        <xdr:cNvPr id="1286" name="Straight Arrow Connector 527">
          <a:extLst>
            <a:ext uri="{FF2B5EF4-FFF2-40B4-BE49-F238E27FC236}">
              <a16:creationId xmlns:a16="http://schemas.microsoft.com/office/drawing/2014/main" id="{CF6110F7-2593-4089-B1E9-29F1176C9813}"/>
            </a:ext>
          </a:extLst>
        </xdr:cNvPr>
        <xdr:cNvCxnSpPr/>
      </xdr:nvCxnSpPr>
      <xdr:spPr>
        <a:xfrm flipH="1" flipV="1">
          <a:off x="121158000" y="41903300"/>
          <a:ext cx="9985" cy="1781136"/>
        </a:xfrm>
        <a:prstGeom prst="straightConnector1">
          <a:avLst/>
        </a:prstGeom>
        <a:ln w="7620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195943</xdr:colOff>
      <xdr:row>93</xdr:row>
      <xdr:rowOff>341643</xdr:rowOff>
    </xdr:from>
    <xdr:to>
      <xdr:col>39</xdr:col>
      <xdr:colOff>1846701</xdr:colOff>
      <xdr:row>98</xdr:row>
      <xdr:rowOff>5743</xdr:rowOff>
    </xdr:to>
    <xdr:grpSp>
      <xdr:nvGrpSpPr>
        <xdr:cNvPr id="1287" name="Group 252">
          <a:extLst>
            <a:ext uri="{FF2B5EF4-FFF2-40B4-BE49-F238E27FC236}">
              <a16:creationId xmlns:a16="http://schemas.microsoft.com/office/drawing/2014/main" id="{8A3FA9FB-2D32-403E-A0CE-164AC0FEA807}"/>
            </a:ext>
          </a:extLst>
        </xdr:cNvPr>
        <xdr:cNvGrpSpPr/>
      </xdr:nvGrpSpPr>
      <xdr:grpSpPr>
        <a:xfrm>
          <a:off x="144975943" y="50786043"/>
          <a:ext cx="1650758" cy="3016900"/>
          <a:chOff x="4249454" y="18545175"/>
          <a:chExt cx="1743075" cy="1409700"/>
        </a:xfrm>
      </xdr:grpSpPr>
      <xdr:sp macro="" textlink="">
        <xdr:nvSpPr>
          <xdr:cNvPr id="1288" name="Rectangle 1287">
            <a:extLst>
              <a:ext uri="{FF2B5EF4-FFF2-40B4-BE49-F238E27FC236}">
                <a16:creationId xmlns:a16="http://schemas.microsoft.com/office/drawing/2014/main" id="{91FDC5A0-7FC3-D730-99B1-12C816D6363E}"/>
              </a:ext>
            </a:extLst>
          </xdr:cNvPr>
          <xdr:cNvSpPr/>
        </xdr:nvSpPr>
        <xdr:spPr>
          <a:xfrm>
            <a:off x="4249454" y="1854517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1289" name="Group 251">
            <a:extLst>
              <a:ext uri="{FF2B5EF4-FFF2-40B4-BE49-F238E27FC236}">
                <a16:creationId xmlns:a16="http://schemas.microsoft.com/office/drawing/2014/main" id="{B862CE1D-8E07-CBDE-EECD-31B180147195}"/>
              </a:ext>
            </a:extLst>
          </xdr:cNvPr>
          <xdr:cNvGrpSpPr/>
        </xdr:nvGrpSpPr>
        <xdr:grpSpPr>
          <a:xfrm>
            <a:off x="4848224" y="18735676"/>
            <a:ext cx="381001" cy="1066799"/>
            <a:chOff x="4867274" y="18630901"/>
            <a:chExt cx="381001" cy="1066799"/>
          </a:xfrm>
        </xdr:grpSpPr>
        <xdr:grpSp>
          <xdr:nvGrpSpPr>
            <xdr:cNvPr id="1290" name="Group 248">
              <a:extLst>
                <a:ext uri="{FF2B5EF4-FFF2-40B4-BE49-F238E27FC236}">
                  <a16:creationId xmlns:a16="http://schemas.microsoft.com/office/drawing/2014/main" id="{D413A058-B9CF-FE6B-FA1B-A12C7C2C0820}"/>
                </a:ext>
              </a:extLst>
            </xdr:cNvPr>
            <xdr:cNvGrpSpPr/>
          </xdr:nvGrpSpPr>
          <xdr:grpSpPr>
            <a:xfrm>
              <a:off x="4867275" y="18630901"/>
              <a:ext cx="380999" cy="800100"/>
              <a:chOff x="4933950" y="18811876"/>
              <a:chExt cx="380999" cy="971549"/>
            </a:xfrm>
          </xdr:grpSpPr>
          <xdr:grpSp>
            <xdr:nvGrpSpPr>
              <xdr:cNvPr id="1292" name="Group 239">
                <a:extLst>
                  <a:ext uri="{FF2B5EF4-FFF2-40B4-BE49-F238E27FC236}">
                    <a16:creationId xmlns:a16="http://schemas.microsoft.com/office/drawing/2014/main" id="{2B6CCE24-2020-0425-5342-AAAFD1E79F0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33950" y="18811876"/>
                <a:ext cx="380999" cy="971549"/>
                <a:chOff x="339" y="1152"/>
                <a:chExt cx="147" cy="433"/>
              </a:xfrm>
            </xdr:grpSpPr>
            <xdr:sp macro="" textlink="">
              <xdr:nvSpPr>
                <xdr:cNvPr id="1294" name="Line 11">
                  <a:extLst>
                    <a:ext uri="{FF2B5EF4-FFF2-40B4-BE49-F238E27FC236}">
                      <a16:creationId xmlns:a16="http://schemas.microsoft.com/office/drawing/2014/main" id="{F6494D14-733E-B43D-D839-0CE6EB1F2EEC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486" y="1152"/>
                  <a:ext cx="0" cy="432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295" name="Line 12">
                  <a:extLst>
                    <a:ext uri="{FF2B5EF4-FFF2-40B4-BE49-F238E27FC236}">
                      <a16:creationId xmlns:a16="http://schemas.microsoft.com/office/drawing/2014/main" id="{CCAC0F72-A009-F758-C0D3-19F66C217612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584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296" name="Line 13">
                  <a:extLst>
                    <a:ext uri="{FF2B5EF4-FFF2-40B4-BE49-F238E27FC236}">
                      <a16:creationId xmlns:a16="http://schemas.microsoft.com/office/drawing/2014/main" id="{B1EC0790-A697-3147-DFAE-22E9576A9BDB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440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297" name="Line 14">
                  <a:extLst>
                    <a:ext uri="{FF2B5EF4-FFF2-40B4-BE49-F238E27FC236}">
                      <a16:creationId xmlns:a16="http://schemas.microsoft.com/office/drawing/2014/main" id="{FB0C34CD-3B0C-67E1-F9C6-6FCABF742AB7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296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298" name="Line 15">
                  <a:extLst>
                    <a:ext uri="{FF2B5EF4-FFF2-40B4-BE49-F238E27FC236}">
                      <a16:creationId xmlns:a16="http://schemas.microsoft.com/office/drawing/2014/main" id="{E21DF87F-DC1D-84C7-9600-E5A2043968AF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152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</xdr:grpSp>
          <xdr:cxnSp macro="">
            <xdr:nvCxnSpPr>
              <xdr:cNvPr id="1293" name="Straight Connector 246">
                <a:extLst>
                  <a:ext uri="{FF2B5EF4-FFF2-40B4-BE49-F238E27FC236}">
                    <a16:creationId xmlns:a16="http://schemas.microsoft.com/office/drawing/2014/main" id="{0707FEF8-74CB-CF98-9AD2-945ECAA2D61A}"/>
                  </a:ext>
                </a:extLst>
              </xdr:cNvPr>
              <xdr:cNvCxnSpPr>
                <a:stCxn id="1298" idx="1"/>
                <a:endCxn id="1295" idx="1"/>
              </xdr:cNvCxnSpPr>
            </xdr:nvCxnSpPr>
            <xdr:spPr>
              <a:xfrm>
                <a:off x="4933950" y="18814120"/>
                <a:ext cx="0" cy="969305"/>
              </a:xfrm>
              <a:prstGeom prst="line">
                <a:avLst/>
              </a:prstGeom>
              <a:ln w="28575"/>
            </xdr:spPr>
            <xdr:style>
              <a:lnRef idx="3">
                <a:schemeClr val="dk1"/>
              </a:lnRef>
              <a:fillRef idx="0">
                <a:schemeClr val="dk1"/>
              </a:fillRef>
              <a:effectRef idx="2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291" name="Rectangle 1290">
              <a:extLst>
                <a:ext uri="{FF2B5EF4-FFF2-40B4-BE49-F238E27FC236}">
                  <a16:creationId xmlns:a16="http://schemas.microsoft.com/office/drawing/2014/main" id="{9B5A59E0-332D-8CC9-B190-904246F0B2A5}"/>
                </a:ext>
              </a:extLst>
            </xdr:cNvPr>
            <xdr:cNvSpPr/>
          </xdr:nvSpPr>
          <xdr:spPr>
            <a:xfrm>
              <a:off x="4867274" y="19431000"/>
              <a:ext cx="381001" cy="266700"/>
            </a:xfrm>
            <a:prstGeom prst="rect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37</xdr:col>
      <xdr:colOff>0</xdr:colOff>
      <xdr:row>95</xdr:row>
      <xdr:rowOff>45358</xdr:rowOff>
    </xdr:from>
    <xdr:to>
      <xdr:col>39</xdr:col>
      <xdr:colOff>272143</xdr:colOff>
      <xdr:row>95</xdr:row>
      <xdr:rowOff>54429</xdr:rowOff>
    </xdr:to>
    <xdr:cxnSp macro="">
      <xdr:nvCxnSpPr>
        <xdr:cNvPr id="1299" name="Straight Arrow Connector 527">
          <a:extLst>
            <a:ext uri="{FF2B5EF4-FFF2-40B4-BE49-F238E27FC236}">
              <a16:creationId xmlns:a16="http://schemas.microsoft.com/office/drawing/2014/main" id="{4B05235B-DE33-4FF7-A900-843BCC920B18}"/>
            </a:ext>
          </a:extLst>
        </xdr:cNvPr>
        <xdr:cNvCxnSpPr>
          <a:stCxn id="1162" idx="3"/>
        </xdr:cNvCxnSpPr>
      </xdr:nvCxnSpPr>
      <xdr:spPr>
        <a:xfrm>
          <a:off x="138811000" y="51543858"/>
          <a:ext cx="5796643" cy="9071"/>
        </a:xfrm>
        <a:prstGeom prst="straightConnector1">
          <a:avLst/>
        </a:prstGeom>
        <a:ln w="7620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190500</xdr:colOff>
      <xdr:row>149</xdr:row>
      <xdr:rowOff>201897</xdr:rowOff>
    </xdr:from>
    <xdr:to>
      <xdr:col>35</xdr:col>
      <xdr:colOff>254000</xdr:colOff>
      <xdr:row>154</xdr:row>
      <xdr:rowOff>254000</xdr:rowOff>
    </xdr:to>
    <xdr:grpSp>
      <xdr:nvGrpSpPr>
        <xdr:cNvPr id="1427" name="Groupe 1426">
          <a:extLst>
            <a:ext uri="{FF2B5EF4-FFF2-40B4-BE49-F238E27FC236}">
              <a16:creationId xmlns:a16="http://schemas.microsoft.com/office/drawing/2014/main" id="{78F4DEA2-EEAB-4C35-B9A2-2C985A54B5E6}"/>
            </a:ext>
          </a:extLst>
        </xdr:cNvPr>
        <xdr:cNvGrpSpPr/>
      </xdr:nvGrpSpPr>
      <xdr:grpSpPr>
        <a:xfrm>
          <a:off x="117081300" y="86917497"/>
          <a:ext cx="5168900" cy="3404903"/>
          <a:chOff x="55467048" y="12967956"/>
          <a:chExt cx="4536471" cy="3835121"/>
        </a:xfrm>
      </xdr:grpSpPr>
      <xdr:grpSp>
        <xdr:nvGrpSpPr>
          <xdr:cNvPr id="1428" name="Group 665">
            <a:extLst>
              <a:ext uri="{FF2B5EF4-FFF2-40B4-BE49-F238E27FC236}">
                <a16:creationId xmlns:a16="http://schemas.microsoft.com/office/drawing/2014/main" id="{EA96CEC8-A23F-64B1-7B3B-AEF0D2E19375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1445" name="Arrow: Right 666">
              <a:extLst>
                <a:ext uri="{FF2B5EF4-FFF2-40B4-BE49-F238E27FC236}">
                  <a16:creationId xmlns:a16="http://schemas.microsoft.com/office/drawing/2014/main" id="{31896851-6F21-13B9-AF3E-16EEC55F63EC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446" name="Group 667">
              <a:extLst>
                <a:ext uri="{FF2B5EF4-FFF2-40B4-BE49-F238E27FC236}">
                  <a16:creationId xmlns:a16="http://schemas.microsoft.com/office/drawing/2014/main" id="{D8A0DBE4-829B-804F-9062-12B24E2716AB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1447" name="Rectangle 1446">
                <a:extLst>
                  <a:ext uri="{FF2B5EF4-FFF2-40B4-BE49-F238E27FC236}">
                    <a16:creationId xmlns:a16="http://schemas.microsoft.com/office/drawing/2014/main" id="{5FD0425F-7480-755B-66FC-5D763C67DF29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48" name="Rectangle 1447">
                <a:extLst>
                  <a:ext uri="{FF2B5EF4-FFF2-40B4-BE49-F238E27FC236}">
                    <a16:creationId xmlns:a16="http://schemas.microsoft.com/office/drawing/2014/main" id="{06C41C8B-A8F1-A7D4-3331-703FE7090337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49" name="Rectangle 1448">
                <a:extLst>
                  <a:ext uri="{FF2B5EF4-FFF2-40B4-BE49-F238E27FC236}">
                    <a16:creationId xmlns:a16="http://schemas.microsoft.com/office/drawing/2014/main" id="{20107A53-249A-DB6B-8DA3-1666BD3350CA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50" name="Isosceles Triangle 674">
                <a:extLst>
                  <a:ext uri="{FF2B5EF4-FFF2-40B4-BE49-F238E27FC236}">
                    <a16:creationId xmlns:a16="http://schemas.microsoft.com/office/drawing/2014/main" id="{F65E55A1-DB2F-198B-56AF-F3E259CE317D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1429" name="Group 89">
            <a:extLst>
              <a:ext uri="{FF2B5EF4-FFF2-40B4-BE49-F238E27FC236}">
                <a16:creationId xmlns:a16="http://schemas.microsoft.com/office/drawing/2014/main" id="{FF477DE3-DCE6-4C0A-A4B4-A6C67531DC99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1441" name="Rectangle 1440">
              <a:extLst>
                <a:ext uri="{FF2B5EF4-FFF2-40B4-BE49-F238E27FC236}">
                  <a16:creationId xmlns:a16="http://schemas.microsoft.com/office/drawing/2014/main" id="{0F83F804-2F92-506E-893C-3F35EE5E692E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1442" name="Straight Connector 92">
              <a:extLst>
                <a:ext uri="{FF2B5EF4-FFF2-40B4-BE49-F238E27FC236}">
                  <a16:creationId xmlns:a16="http://schemas.microsoft.com/office/drawing/2014/main" id="{E604E5A7-EECD-903B-0EC9-E75B7D60AF34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443" name="Isosceles Triangle 103">
              <a:extLst>
                <a:ext uri="{FF2B5EF4-FFF2-40B4-BE49-F238E27FC236}">
                  <a16:creationId xmlns:a16="http://schemas.microsoft.com/office/drawing/2014/main" id="{AC076312-2DC7-760C-1597-9999B3C3D7CE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444" name="Rectangle 1443">
              <a:extLst>
                <a:ext uri="{FF2B5EF4-FFF2-40B4-BE49-F238E27FC236}">
                  <a16:creationId xmlns:a16="http://schemas.microsoft.com/office/drawing/2014/main" id="{13EB5237-A267-2BA8-52F5-9C7AF66E15D2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1430" name="Group 224">
            <a:extLst>
              <a:ext uri="{FF2B5EF4-FFF2-40B4-BE49-F238E27FC236}">
                <a16:creationId xmlns:a16="http://schemas.microsoft.com/office/drawing/2014/main" id="{B5923AD5-6675-6BB6-5837-A84DCBAAD13A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1434" name="Rectangle 1433">
              <a:extLst>
                <a:ext uri="{FF2B5EF4-FFF2-40B4-BE49-F238E27FC236}">
                  <a16:creationId xmlns:a16="http://schemas.microsoft.com/office/drawing/2014/main" id="{B6D01FB2-E9A5-099A-828C-0DD1E23BD409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435" name="Group 212">
              <a:extLst>
                <a:ext uri="{FF2B5EF4-FFF2-40B4-BE49-F238E27FC236}">
                  <a16:creationId xmlns:a16="http://schemas.microsoft.com/office/drawing/2014/main" id="{32C9DD81-60DC-5C09-DD3F-4D11CB381F25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1436" name="Line 11">
                <a:extLst>
                  <a:ext uri="{FF2B5EF4-FFF2-40B4-BE49-F238E27FC236}">
                    <a16:creationId xmlns:a16="http://schemas.microsoft.com/office/drawing/2014/main" id="{FAC0D4AE-9885-CD33-7ED8-14C5731815F2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437" name="Line 12">
                <a:extLst>
                  <a:ext uri="{FF2B5EF4-FFF2-40B4-BE49-F238E27FC236}">
                    <a16:creationId xmlns:a16="http://schemas.microsoft.com/office/drawing/2014/main" id="{6400344C-E59F-217D-ED16-87AE765EBC5A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438" name="Line 13">
                <a:extLst>
                  <a:ext uri="{FF2B5EF4-FFF2-40B4-BE49-F238E27FC236}">
                    <a16:creationId xmlns:a16="http://schemas.microsoft.com/office/drawing/2014/main" id="{CD2BE982-1E0D-58BA-834E-862E1425A1D9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439" name="Line 14">
                <a:extLst>
                  <a:ext uri="{FF2B5EF4-FFF2-40B4-BE49-F238E27FC236}">
                    <a16:creationId xmlns:a16="http://schemas.microsoft.com/office/drawing/2014/main" id="{E35C393E-7F2F-8AE2-96BB-8E46DFC9CA6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440" name="Line 15">
                <a:extLst>
                  <a:ext uri="{FF2B5EF4-FFF2-40B4-BE49-F238E27FC236}">
                    <a16:creationId xmlns:a16="http://schemas.microsoft.com/office/drawing/2014/main" id="{D41EFED3-279E-B5AC-E115-8F840908B47A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1431" name="Group 206">
            <a:extLst>
              <a:ext uri="{FF2B5EF4-FFF2-40B4-BE49-F238E27FC236}">
                <a16:creationId xmlns:a16="http://schemas.microsoft.com/office/drawing/2014/main" id="{4BD00EA2-8CF7-BA40-6900-35D540D0C7CF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1432" name="Rectangle 1431">
              <a:extLst>
                <a:ext uri="{FF2B5EF4-FFF2-40B4-BE49-F238E27FC236}">
                  <a16:creationId xmlns:a16="http://schemas.microsoft.com/office/drawing/2014/main" id="{201E27F2-1675-83FB-38CB-8CDDF1958B0C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433" name="Arc 26">
              <a:extLst>
                <a:ext uri="{FF2B5EF4-FFF2-40B4-BE49-F238E27FC236}">
                  <a16:creationId xmlns:a16="http://schemas.microsoft.com/office/drawing/2014/main" id="{10A7D9C7-9F87-9BB1-C4D0-BA7A593850F3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40</xdr:col>
      <xdr:colOff>2413000</xdr:colOff>
      <xdr:row>132</xdr:row>
      <xdr:rowOff>127000</xdr:rowOff>
    </xdr:from>
    <xdr:to>
      <xdr:col>43</xdr:col>
      <xdr:colOff>72128</xdr:colOff>
      <xdr:row>144</xdr:row>
      <xdr:rowOff>0</xdr:rowOff>
    </xdr:to>
    <xdr:grpSp>
      <xdr:nvGrpSpPr>
        <xdr:cNvPr id="1451" name="Group 23">
          <a:extLst>
            <a:ext uri="{FF2B5EF4-FFF2-40B4-BE49-F238E27FC236}">
              <a16:creationId xmlns:a16="http://schemas.microsoft.com/office/drawing/2014/main" id="{9BF1B529-12A8-45D6-A19B-72CB2455D434}"/>
            </a:ext>
          </a:extLst>
        </xdr:cNvPr>
        <xdr:cNvGrpSpPr/>
      </xdr:nvGrpSpPr>
      <xdr:grpSpPr>
        <a:xfrm>
          <a:off x="151460200" y="79070200"/>
          <a:ext cx="19299928" cy="5359400"/>
          <a:chOff x="1863655" y="3857625"/>
          <a:chExt cx="1070045" cy="742950"/>
        </a:xfrm>
        <a:solidFill>
          <a:schemeClr val="accent1">
            <a:lumMod val="40000"/>
            <a:lumOff val="60000"/>
          </a:schemeClr>
        </a:solidFill>
      </xdr:grpSpPr>
      <xdr:sp macro="" textlink="">
        <xdr:nvSpPr>
          <xdr:cNvPr id="1452" name="Freeform: Shape 18">
            <a:extLst>
              <a:ext uri="{FF2B5EF4-FFF2-40B4-BE49-F238E27FC236}">
                <a16:creationId xmlns:a16="http://schemas.microsoft.com/office/drawing/2014/main" id="{064575E4-F71D-3FAB-7589-09A719CE71BD}"/>
              </a:ext>
            </a:extLst>
          </xdr:cNvPr>
          <xdr:cNvSpPr/>
        </xdr:nvSpPr>
        <xdr:spPr>
          <a:xfrm>
            <a:off x="1863655" y="3857625"/>
            <a:ext cx="1070045" cy="742950"/>
          </a:xfrm>
          <a:custGeom>
            <a:avLst/>
            <a:gdLst>
              <a:gd name="connsiteX0" fmla="*/ 28575 w 866775"/>
              <a:gd name="connsiteY0" fmla="*/ 714375 h 714375"/>
              <a:gd name="connsiteX1" fmla="*/ 866775 w 866775"/>
              <a:gd name="connsiteY1" fmla="*/ 714375 h 714375"/>
              <a:gd name="connsiteX2" fmla="*/ 866775 w 866775"/>
              <a:gd name="connsiteY2" fmla="*/ 0 h 714375"/>
              <a:gd name="connsiteX3" fmla="*/ 571500 w 866775"/>
              <a:gd name="connsiteY3" fmla="*/ 209550 h 714375"/>
              <a:gd name="connsiteX4" fmla="*/ 571500 w 866775"/>
              <a:gd name="connsiteY4" fmla="*/ 0 h 714375"/>
              <a:gd name="connsiteX5" fmla="*/ 342900 w 866775"/>
              <a:gd name="connsiteY5" fmla="*/ 190500 h 714375"/>
              <a:gd name="connsiteX6" fmla="*/ 352425 w 866775"/>
              <a:gd name="connsiteY6" fmla="*/ 0 h 714375"/>
              <a:gd name="connsiteX7" fmla="*/ 0 w 866775"/>
              <a:gd name="connsiteY7" fmla="*/ 314325 h 714375"/>
              <a:gd name="connsiteX8" fmla="*/ 28575 w 866775"/>
              <a:gd name="connsiteY8" fmla="*/ 714375 h 714375"/>
              <a:gd name="connsiteX0" fmla="*/ 0 w 877244"/>
              <a:gd name="connsiteY0" fmla="*/ 714375 h 714375"/>
              <a:gd name="connsiteX1" fmla="*/ 877244 w 877244"/>
              <a:gd name="connsiteY1" fmla="*/ 714375 h 714375"/>
              <a:gd name="connsiteX2" fmla="*/ 877244 w 877244"/>
              <a:gd name="connsiteY2" fmla="*/ 0 h 714375"/>
              <a:gd name="connsiteX3" fmla="*/ 581969 w 877244"/>
              <a:gd name="connsiteY3" fmla="*/ 209550 h 714375"/>
              <a:gd name="connsiteX4" fmla="*/ 581969 w 877244"/>
              <a:gd name="connsiteY4" fmla="*/ 0 h 714375"/>
              <a:gd name="connsiteX5" fmla="*/ 353369 w 877244"/>
              <a:gd name="connsiteY5" fmla="*/ 190500 h 714375"/>
              <a:gd name="connsiteX6" fmla="*/ 362894 w 877244"/>
              <a:gd name="connsiteY6" fmla="*/ 0 h 714375"/>
              <a:gd name="connsiteX7" fmla="*/ 10469 w 877244"/>
              <a:gd name="connsiteY7" fmla="*/ 314325 h 714375"/>
              <a:gd name="connsiteX8" fmla="*/ 0 w 877244"/>
              <a:gd name="connsiteY8" fmla="*/ 714375 h 714375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353369 w 877244"/>
              <a:gd name="connsiteY5" fmla="*/ 21907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81969 w 877244"/>
              <a:gd name="connsiteY3" fmla="*/ 238125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  <a:gd name="connsiteX0" fmla="*/ 0 w 877244"/>
              <a:gd name="connsiteY0" fmla="*/ 742950 h 742950"/>
              <a:gd name="connsiteX1" fmla="*/ 877244 w 877244"/>
              <a:gd name="connsiteY1" fmla="*/ 742950 h 742950"/>
              <a:gd name="connsiteX2" fmla="*/ 877244 w 877244"/>
              <a:gd name="connsiteY2" fmla="*/ 28575 h 742950"/>
              <a:gd name="connsiteX3" fmla="*/ 574160 w 877244"/>
              <a:gd name="connsiteY3" fmla="*/ 323850 h 742950"/>
              <a:gd name="connsiteX4" fmla="*/ 581969 w 877244"/>
              <a:gd name="connsiteY4" fmla="*/ 28575 h 742950"/>
              <a:gd name="connsiteX5" fmla="*/ 267473 w 877244"/>
              <a:gd name="connsiteY5" fmla="*/ 314325 h 742950"/>
              <a:gd name="connsiteX6" fmla="*/ 269189 w 877244"/>
              <a:gd name="connsiteY6" fmla="*/ 0 h 742950"/>
              <a:gd name="connsiteX7" fmla="*/ 10469 w 877244"/>
              <a:gd name="connsiteY7" fmla="*/ 342900 h 742950"/>
              <a:gd name="connsiteX8" fmla="*/ 0 w 877244"/>
              <a:gd name="connsiteY8" fmla="*/ 742950 h 7429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877244" h="742950">
                <a:moveTo>
                  <a:pt x="0" y="742950"/>
                </a:moveTo>
                <a:lnTo>
                  <a:pt x="877244" y="742950"/>
                </a:lnTo>
                <a:lnTo>
                  <a:pt x="877244" y="28575"/>
                </a:lnTo>
                <a:lnTo>
                  <a:pt x="574160" y="323850"/>
                </a:lnTo>
                <a:lnTo>
                  <a:pt x="581969" y="28575"/>
                </a:lnTo>
                <a:lnTo>
                  <a:pt x="267473" y="314325"/>
                </a:lnTo>
                <a:lnTo>
                  <a:pt x="269189" y="0"/>
                </a:lnTo>
                <a:lnTo>
                  <a:pt x="10469" y="342900"/>
                </a:lnTo>
                <a:lnTo>
                  <a:pt x="0" y="742950"/>
                </a:lnTo>
                <a:close/>
              </a:path>
            </a:pathLst>
          </a:cu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 b="1">
              <a:solidFill>
                <a:schemeClr val="tx1"/>
              </a:solidFill>
              <a:effectLst/>
            </a:endParaRPr>
          </a:p>
        </xdr:txBody>
      </xdr:sp>
      <xdr:sp macro="" textlink="">
        <xdr:nvSpPr>
          <xdr:cNvPr id="1453" name="Rectangle 1452">
            <a:extLst>
              <a:ext uri="{FF2B5EF4-FFF2-40B4-BE49-F238E27FC236}">
                <a16:creationId xmlns:a16="http://schemas.microsoft.com/office/drawing/2014/main" id="{89CC73A3-1DB5-4911-95B4-224C4220D2CC}"/>
              </a:ext>
            </a:extLst>
          </xdr:cNvPr>
          <xdr:cNvSpPr/>
        </xdr:nvSpPr>
        <xdr:spPr>
          <a:xfrm>
            <a:off x="1997032" y="4282284"/>
            <a:ext cx="859936" cy="31179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6600" b="1">
                <a:latin typeface="Times New Roman" panose="02020603050405020304" pitchFamily="18" charset="0"/>
                <a:cs typeface="Times New Roman" panose="02020603050405020304" pitchFamily="18" charset="0"/>
              </a:rPr>
              <a:t>ZONE</a:t>
            </a:r>
            <a:r>
              <a:rPr lang="fr-FR" sz="66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D'ASSAMBLAGE</a:t>
            </a:r>
            <a:endParaRPr lang="fr-FR" sz="6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41</xdr:col>
      <xdr:colOff>1148861</xdr:colOff>
      <xdr:row>144</xdr:row>
      <xdr:rowOff>5862</xdr:rowOff>
    </xdr:from>
    <xdr:to>
      <xdr:col>41</xdr:col>
      <xdr:colOff>1602941</xdr:colOff>
      <xdr:row>149</xdr:row>
      <xdr:rowOff>348272</xdr:rowOff>
    </xdr:to>
    <xdr:sp macro="" textlink="">
      <xdr:nvSpPr>
        <xdr:cNvPr id="1454" name="Arrow: Right 167">
          <a:extLst>
            <a:ext uri="{FF2B5EF4-FFF2-40B4-BE49-F238E27FC236}">
              <a16:creationId xmlns:a16="http://schemas.microsoft.com/office/drawing/2014/main" id="{6C0B561C-760F-47B5-A896-DD7D81514F94}"/>
            </a:ext>
          </a:extLst>
        </xdr:cNvPr>
        <xdr:cNvSpPr/>
      </xdr:nvSpPr>
      <xdr:spPr>
        <a:xfrm rot="16200000">
          <a:off x="125258296" y="78131227"/>
          <a:ext cx="2628410" cy="454080"/>
        </a:xfrm>
        <a:prstGeom prst="rightArrow">
          <a:avLst/>
        </a:prstGeom>
        <a:solidFill>
          <a:schemeClr val="bg1"/>
        </a:solidFill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40</xdr:col>
      <xdr:colOff>7748953</xdr:colOff>
      <xdr:row>150</xdr:row>
      <xdr:rowOff>99646</xdr:rowOff>
    </xdr:from>
    <xdr:to>
      <xdr:col>41</xdr:col>
      <xdr:colOff>2891017</xdr:colOff>
      <xdr:row>152</xdr:row>
      <xdr:rowOff>288681</xdr:rowOff>
    </xdr:to>
    <xdr:grpSp>
      <xdr:nvGrpSpPr>
        <xdr:cNvPr id="1455" name="Group 352">
          <a:extLst>
            <a:ext uri="{FF2B5EF4-FFF2-40B4-BE49-F238E27FC236}">
              <a16:creationId xmlns:a16="http://schemas.microsoft.com/office/drawing/2014/main" id="{97F47282-6DC4-4ACC-9B5B-4F7E0A9EA220}"/>
            </a:ext>
          </a:extLst>
        </xdr:cNvPr>
        <xdr:cNvGrpSpPr/>
      </xdr:nvGrpSpPr>
      <xdr:grpSpPr>
        <a:xfrm>
          <a:off x="156796153" y="87272446"/>
          <a:ext cx="6724464" cy="1636835"/>
          <a:chOff x="4076700" y="20631150"/>
          <a:chExt cx="1743075" cy="1409700"/>
        </a:xfrm>
        <a:solidFill>
          <a:schemeClr val="accent3"/>
        </a:solidFill>
      </xdr:grpSpPr>
      <xdr:sp macro="" textlink="">
        <xdr:nvSpPr>
          <xdr:cNvPr id="1456" name="Rectangle 1455">
            <a:extLst>
              <a:ext uri="{FF2B5EF4-FFF2-40B4-BE49-F238E27FC236}">
                <a16:creationId xmlns:a16="http://schemas.microsoft.com/office/drawing/2014/main" id="{3B4218FE-8625-8294-D40C-566E7E27CE83}"/>
              </a:ext>
            </a:extLst>
          </xdr:cNvPr>
          <xdr:cNvSpPr/>
        </xdr:nvSpPr>
        <xdr:spPr>
          <a:xfrm>
            <a:off x="4076700" y="20631150"/>
            <a:ext cx="1743075" cy="1409700"/>
          </a:xfrm>
          <a:prstGeom prst="rect">
            <a:avLst/>
          </a:prstGeom>
          <a:grp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457" name="Picture 318">
            <a:extLst>
              <a:ext uri="{FF2B5EF4-FFF2-40B4-BE49-F238E27FC236}">
                <a16:creationId xmlns:a16="http://schemas.microsoft.com/office/drawing/2014/main" id="{BE2B7F34-770D-1014-AD64-ABDDDAED33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4257676" y="21108898"/>
            <a:ext cx="1000124" cy="789377"/>
          </a:xfrm>
          <a:prstGeom prst="rect">
            <a:avLst/>
          </a:prstGeom>
          <a:grpFill/>
          <a:ln>
            <a:noFill/>
          </a:ln>
        </xdr:spPr>
      </xdr:pic>
      <xdr:grpSp>
        <xdr:nvGrpSpPr>
          <xdr:cNvPr id="1458" name="Group 340">
            <a:extLst>
              <a:ext uri="{FF2B5EF4-FFF2-40B4-BE49-F238E27FC236}">
                <a16:creationId xmlns:a16="http://schemas.microsoft.com/office/drawing/2014/main" id="{32CC1023-F0C7-321F-FD99-A61DFC677C71}"/>
              </a:ext>
            </a:extLst>
          </xdr:cNvPr>
          <xdr:cNvGrpSpPr/>
        </xdr:nvGrpSpPr>
        <xdr:grpSpPr>
          <a:xfrm>
            <a:off x="5324475" y="20726400"/>
            <a:ext cx="342900" cy="274451"/>
            <a:chOff x="5622718" y="2886022"/>
            <a:chExt cx="577311" cy="554751"/>
          </a:xfrm>
          <a:grpFill/>
        </xdr:grpSpPr>
        <xdr:sp macro="" textlink="">
          <xdr:nvSpPr>
            <xdr:cNvPr id="1459" name="Rectangle 80">
              <a:extLst>
                <a:ext uri="{FF2B5EF4-FFF2-40B4-BE49-F238E27FC236}">
                  <a16:creationId xmlns:a16="http://schemas.microsoft.com/office/drawing/2014/main" id="{3C64D4A4-2C8D-7D30-E644-914A7B5F016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622718" y="2886022"/>
              <a:ext cx="577311" cy="554751"/>
            </a:xfrm>
            <a:prstGeom prst="roundRect">
              <a:avLst/>
            </a:prstGeom>
            <a:grpFill/>
            <a:ln w="28575" algn="ctr">
              <a:solidFill>
                <a:schemeClr val="tx1"/>
              </a:solidFill>
              <a:miter lim="800000"/>
              <a:headEnd/>
              <a:tailEnd/>
            </a:ln>
          </xdr:spPr>
          <xdr:txBody>
            <a:bodyPr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spcBef>
                  <a:spcPct val="0"/>
                </a:spcBef>
              </a:pPr>
              <a:endParaRPr lang="en-US" altLang="en-US" sz="1245">
                <a:latin typeface="Arial" panose="020B0604020202020204" pitchFamily="34" charset="0"/>
              </a:endParaRPr>
            </a:p>
          </xdr:txBody>
        </xdr:sp>
        <xdr:grpSp>
          <xdr:nvGrpSpPr>
            <xdr:cNvPr id="1460" name="Graphic 13">
              <a:extLst>
                <a:ext uri="{FF2B5EF4-FFF2-40B4-BE49-F238E27FC236}">
                  <a16:creationId xmlns:a16="http://schemas.microsoft.com/office/drawing/2014/main" id="{73D09736-90FF-DB20-2631-A1293F9EC165}"/>
                </a:ext>
              </a:extLst>
            </xdr:cNvPr>
            <xdr:cNvGrpSpPr/>
          </xdr:nvGrpSpPr>
          <xdr:grpSpPr>
            <a:xfrm>
              <a:off x="5714234" y="2962446"/>
              <a:ext cx="394287" cy="394287"/>
              <a:chOff x="5774080" y="2944851"/>
              <a:chExt cx="312942" cy="312942"/>
            </a:xfrm>
            <a:grpFill/>
          </xdr:grpSpPr>
          <xdr:sp macro="" textlink="">
            <xdr:nvSpPr>
              <xdr:cNvPr id="1461" name="Freeform: Shape 343">
                <a:extLst>
                  <a:ext uri="{FF2B5EF4-FFF2-40B4-BE49-F238E27FC236}">
                    <a16:creationId xmlns:a16="http://schemas.microsoft.com/office/drawing/2014/main" id="{EA2653C7-FF16-C634-0712-93210194DD15}"/>
                  </a:ext>
                </a:extLst>
              </xdr:cNvPr>
              <xdr:cNvSpPr/>
            </xdr:nvSpPr>
            <xdr:spPr>
              <a:xfrm>
                <a:off x="5778762" y="2949533"/>
                <a:ext cx="308260" cy="308260"/>
              </a:xfrm>
              <a:custGeom>
                <a:avLst/>
                <a:gdLst>
                  <a:gd name="connsiteX0" fmla="*/ 308260 w 308260"/>
                  <a:gd name="connsiteY0" fmla="*/ 154130 h 308260"/>
                  <a:gd name="connsiteX1" fmla="*/ 154130 w 308260"/>
                  <a:gd name="connsiteY1" fmla="*/ 308260 h 308260"/>
                  <a:gd name="connsiteX2" fmla="*/ 0 w 308260"/>
                  <a:gd name="connsiteY2" fmla="*/ 154130 h 308260"/>
                  <a:gd name="connsiteX3" fmla="*/ 154130 w 308260"/>
                  <a:gd name="connsiteY3" fmla="*/ 0 h 308260"/>
                  <a:gd name="connsiteX4" fmla="*/ 308260 w 308260"/>
                  <a:gd name="connsiteY4" fmla="*/ 154130 h 30826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308260" h="308260">
                    <a:moveTo>
                      <a:pt x="308260" y="154130"/>
                    </a:moveTo>
                    <a:cubicBezTo>
                      <a:pt x="308260" y="239254"/>
                      <a:pt x="239254" y="308260"/>
                      <a:pt x="154130" y="308260"/>
                    </a:cubicBezTo>
                    <a:cubicBezTo>
                      <a:pt x="69006" y="308260"/>
                      <a:pt x="0" y="239254"/>
                      <a:pt x="0" y="154130"/>
                    </a:cubicBezTo>
                    <a:cubicBezTo>
                      <a:pt x="0" y="69006"/>
                      <a:pt x="69006" y="0"/>
                      <a:pt x="154130" y="0"/>
                    </a:cubicBezTo>
                    <a:cubicBezTo>
                      <a:pt x="239254" y="0"/>
                      <a:pt x="308260" y="69006"/>
                      <a:pt x="308260" y="154130"/>
                    </a:cubicBezTo>
                    <a:close/>
                  </a:path>
                </a:pathLst>
              </a:custGeom>
              <a:grpFill/>
              <a:ln w="25400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grpSp>
            <xdr:nvGrpSpPr>
              <xdr:cNvPr id="1462" name="Graphic 13">
                <a:extLst>
                  <a:ext uri="{FF2B5EF4-FFF2-40B4-BE49-F238E27FC236}">
                    <a16:creationId xmlns:a16="http://schemas.microsoft.com/office/drawing/2014/main" id="{28E7BAE3-A76F-7E30-6FB3-B754B2F403FD}"/>
                  </a:ext>
                </a:extLst>
              </xdr:cNvPr>
              <xdr:cNvGrpSpPr/>
            </xdr:nvGrpSpPr>
            <xdr:grpSpPr>
              <a:xfrm>
                <a:off x="5932893" y="2969607"/>
                <a:ext cx="3121" cy="268112"/>
                <a:chOff x="5932893" y="2969607"/>
                <a:chExt cx="3121" cy="268112"/>
              </a:xfrm>
              <a:grpFill/>
            </xdr:grpSpPr>
            <xdr:sp macro="" textlink="">
              <xdr:nvSpPr>
                <xdr:cNvPr id="1468" name="Freeform: Shape 350">
                  <a:extLst>
                    <a:ext uri="{FF2B5EF4-FFF2-40B4-BE49-F238E27FC236}">
                      <a16:creationId xmlns:a16="http://schemas.microsoft.com/office/drawing/2014/main" id="{85546690-9D09-70C0-B609-94E14FE6A21A}"/>
                    </a:ext>
                  </a:extLst>
                </xdr:cNvPr>
                <xdr:cNvSpPr/>
              </xdr:nvSpPr>
              <xdr:spPr>
                <a:xfrm>
                  <a:off x="5932893" y="2969607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1469" name="Freeform: Shape 351">
                  <a:extLst>
                    <a:ext uri="{FF2B5EF4-FFF2-40B4-BE49-F238E27FC236}">
                      <a16:creationId xmlns:a16="http://schemas.microsoft.com/office/drawing/2014/main" id="{532E1EDC-85E8-45F6-E8DE-28EEFC0B4E5D}"/>
                    </a:ext>
                  </a:extLst>
                </xdr:cNvPr>
                <xdr:cNvSpPr/>
              </xdr:nvSpPr>
              <xdr:spPr>
                <a:xfrm>
                  <a:off x="5932893" y="3210434"/>
                  <a:ext cx="3121" cy="27285"/>
                </a:xfrm>
                <a:custGeom>
                  <a:avLst/>
                  <a:gdLst>
                    <a:gd name="connsiteX0" fmla="*/ 0 w 3121"/>
                    <a:gd name="connsiteY0" fmla="*/ 0 h 27285"/>
                    <a:gd name="connsiteX1" fmla="*/ 0 w 3121"/>
                    <a:gd name="connsiteY1" fmla="*/ 27286 h 2728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3121" h="27285">
                      <a:moveTo>
                        <a:pt x="0" y="0"/>
                      </a:moveTo>
                      <a:lnTo>
                        <a:pt x="0" y="27286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grpSp>
            <xdr:nvGrpSpPr>
              <xdr:cNvPr id="1463" name="Graphic 13">
                <a:extLst>
                  <a:ext uri="{FF2B5EF4-FFF2-40B4-BE49-F238E27FC236}">
                    <a16:creationId xmlns:a16="http://schemas.microsoft.com/office/drawing/2014/main" id="{34119E77-E5D7-C566-0EC7-2BEC9AED1156}"/>
                  </a:ext>
                </a:extLst>
              </xdr:cNvPr>
              <xdr:cNvGrpSpPr/>
            </xdr:nvGrpSpPr>
            <xdr:grpSpPr>
              <a:xfrm>
                <a:off x="5798836" y="3103664"/>
                <a:ext cx="268112" cy="3121"/>
                <a:chOff x="5798836" y="3103664"/>
                <a:chExt cx="268112" cy="3121"/>
              </a:xfrm>
              <a:grpFill/>
            </xdr:grpSpPr>
            <xdr:sp macro="" textlink="">
              <xdr:nvSpPr>
                <xdr:cNvPr id="1466" name="Freeform: Shape 348">
                  <a:extLst>
                    <a:ext uri="{FF2B5EF4-FFF2-40B4-BE49-F238E27FC236}">
                      <a16:creationId xmlns:a16="http://schemas.microsoft.com/office/drawing/2014/main" id="{577335BF-C181-D0A7-1B8C-EF58EE2121D4}"/>
                    </a:ext>
                  </a:extLst>
                </xdr:cNvPr>
                <xdr:cNvSpPr/>
              </xdr:nvSpPr>
              <xdr:spPr>
                <a:xfrm>
                  <a:off x="5798836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  <xdr:sp macro="" textlink="">
              <xdr:nvSpPr>
                <xdr:cNvPr id="1467" name="Freeform: Shape 349">
                  <a:extLst>
                    <a:ext uri="{FF2B5EF4-FFF2-40B4-BE49-F238E27FC236}">
                      <a16:creationId xmlns:a16="http://schemas.microsoft.com/office/drawing/2014/main" id="{71CE921E-94F7-740D-471D-EEB1E6972454}"/>
                    </a:ext>
                  </a:extLst>
                </xdr:cNvPr>
                <xdr:cNvSpPr/>
              </xdr:nvSpPr>
              <xdr:spPr>
                <a:xfrm>
                  <a:off x="6039663" y="3103664"/>
                  <a:ext cx="27285" cy="3121"/>
                </a:xfrm>
                <a:custGeom>
                  <a:avLst/>
                  <a:gdLst>
                    <a:gd name="connsiteX0" fmla="*/ 0 w 27285"/>
                    <a:gd name="connsiteY0" fmla="*/ 0 h 3121"/>
                    <a:gd name="connsiteX1" fmla="*/ 27286 w 27285"/>
                    <a:gd name="connsiteY1" fmla="*/ 0 h 312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</a:cxnLst>
                  <a:rect l="l" t="t" r="r" b="b"/>
                  <a:pathLst>
                    <a:path w="27285" h="3121">
                      <a:moveTo>
                        <a:pt x="0" y="0"/>
                      </a:moveTo>
                      <a:lnTo>
                        <a:pt x="27286" y="0"/>
                      </a:lnTo>
                    </a:path>
                  </a:pathLst>
                </a:custGeom>
                <a:grpFill/>
                <a:ln w="22225" cap="flat">
                  <a:solidFill>
                    <a:schemeClr val="tx1"/>
                  </a:solidFill>
                  <a:prstDash val="solid"/>
                  <a:round/>
                </a:ln>
              </xdr:spPr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en-GB" sz="2250"/>
                </a:p>
              </xdr:txBody>
            </xdr:sp>
          </xdr:grpSp>
          <xdr:sp macro="" textlink="">
            <xdr:nvSpPr>
              <xdr:cNvPr id="1464" name="Freeform: Shape 346">
                <a:extLst>
                  <a:ext uri="{FF2B5EF4-FFF2-40B4-BE49-F238E27FC236}">
                    <a16:creationId xmlns:a16="http://schemas.microsoft.com/office/drawing/2014/main" id="{D3C94566-444C-29E0-0BDD-0C82F7F58A41}"/>
                  </a:ext>
                </a:extLst>
              </xdr:cNvPr>
              <xdr:cNvSpPr/>
            </xdr:nvSpPr>
            <xdr:spPr>
              <a:xfrm>
                <a:off x="5932893" y="3027957"/>
                <a:ext cx="63625" cy="82544"/>
              </a:xfrm>
              <a:custGeom>
                <a:avLst/>
                <a:gdLst>
                  <a:gd name="connsiteX0" fmla="*/ 0 w 63625"/>
                  <a:gd name="connsiteY0" fmla="*/ 0 h 82544"/>
                  <a:gd name="connsiteX1" fmla="*/ 0 w 63625"/>
                  <a:gd name="connsiteY1" fmla="*/ 82544 h 82544"/>
                  <a:gd name="connsiteX2" fmla="*/ 63625 w 63625"/>
                  <a:gd name="connsiteY2" fmla="*/ 58318 h 8254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63625" h="82544">
                    <a:moveTo>
                      <a:pt x="0" y="0"/>
                    </a:moveTo>
                    <a:lnTo>
                      <a:pt x="0" y="82544"/>
                    </a:lnTo>
                    <a:lnTo>
                      <a:pt x="63625" y="58318"/>
                    </a:lnTo>
                  </a:path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  <xdr:sp macro="" textlink="">
            <xdr:nvSpPr>
              <xdr:cNvPr id="1465" name="Freeform: Shape 347">
                <a:extLst>
                  <a:ext uri="{FF2B5EF4-FFF2-40B4-BE49-F238E27FC236}">
                    <a16:creationId xmlns:a16="http://schemas.microsoft.com/office/drawing/2014/main" id="{B531377C-3EB2-DEB6-D1E6-38B2EE982342}"/>
                  </a:ext>
                </a:extLst>
              </xdr:cNvPr>
              <xdr:cNvSpPr/>
            </xdr:nvSpPr>
            <xdr:spPr>
              <a:xfrm>
                <a:off x="5774080" y="2944851"/>
                <a:ext cx="3121" cy="3121"/>
              </a:xfrm>
              <a:custGeom>
                <a:avLst/>
                <a:gdLst/>
                <a:ahLst/>
                <a:cxnLst/>
                <a:rect l="l" t="t" r="r" b="b"/>
                <a:pathLst>
                  <a:path w="3121" h="3121"/>
                </a:pathLst>
              </a:custGeom>
              <a:grpFill/>
              <a:ln w="22225" cap="flat">
                <a:solidFill>
                  <a:schemeClr val="tx1"/>
                </a:solidFill>
                <a:prstDash val="solid"/>
                <a:round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en-GB" sz="2250"/>
              </a:p>
            </xdr:txBody>
          </xdr:sp>
        </xdr:grpSp>
      </xdr:grpSp>
    </xdr:grpSp>
    <xdr:clientData/>
  </xdr:twoCellAnchor>
  <xdr:twoCellAnchor>
    <xdr:from>
      <xdr:col>40</xdr:col>
      <xdr:colOff>3022600</xdr:colOff>
      <xdr:row>151</xdr:row>
      <xdr:rowOff>330200</xdr:rowOff>
    </xdr:from>
    <xdr:to>
      <xdr:col>40</xdr:col>
      <xdr:colOff>7487789</xdr:colOff>
      <xdr:row>151</xdr:row>
      <xdr:rowOff>372533</xdr:rowOff>
    </xdr:to>
    <xdr:cxnSp macro="">
      <xdr:nvCxnSpPr>
        <xdr:cNvPr id="1470" name="Straight Arrow Connector 527">
          <a:extLst>
            <a:ext uri="{FF2B5EF4-FFF2-40B4-BE49-F238E27FC236}">
              <a16:creationId xmlns:a16="http://schemas.microsoft.com/office/drawing/2014/main" id="{D3CA46CE-40D0-49BA-8268-44AC2944274E}"/>
            </a:ext>
          </a:extLst>
        </xdr:cNvPr>
        <xdr:cNvCxnSpPr/>
      </xdr:nvCxnSpPr>
      <xdr:spPr>
        <a:xfrm flipV="1">
          <a:off x="120294400" y="80568800"/>
          <a:ext cx="4465189" cy="42333"/>
        </a:xfrm>
        <a:prstGeom prst="straightConnector1">
          <a:avLst/>
        </a:prstGeom>
        <a:ln w="7620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990600</xdr:colOff>
      <xdr:row>147</xdr:row>
      <xdr:rowOff>329549</xdr:rowOff>
    </xdr:from>
    <xdr:to>
      <xdr:col>40</xdr:col>
      <xdr:colOff>3101813</xdr:colOff>
      <xdr:row>153</xdr:row>
      <xdr:rowOff>0</xdr:rowOff>
    </xdr:to>
    <xdr:grpSp>
      <xdr:nvGrpSpPr>
        <xdr:cNvPr id="1471" name="Group 252">
          <a:extLst>
            <a:ext uri="{FF2B5EF4-FFF2-40B4-BE49-F238E27FC236}">
              <a16:creationId xmlns:a16="http://schemas.microsoft.com/office/drawing/2014/main" id="{05ECF2F1-14EF-4D5D-8240-39DBAE253DF8}"/>
            </a:ext>
          </a:extLst>
        </xdr:cNvPr>
        <xdr:cNvGrpSpPr/>
      </xdr:nvGrpSpPr>
      <xdr:grpSpPr>
        <a:xfrm>
          <a:off x="150037800" y="86130749"/>
          <a:ext cx="2111213" cy="3480451"/>
          <a:chOff x="4249454" y="18545175"/>
          <a:chExt cx="1743075" cy="1409700"/>
        </a:xfrm>
      </xdr:grpSpPr>
      <xdr:sp macro="" textlink="">
        <xdr:nvSpPr>
          <xdr:cNvPr id="1472" name="Rectangle 1471">
            <a:extLst>
              <a:ext uri="{FF2B5EF4-FFF2-40B4-BE49-F238E27FC236}">
                <a16:creationId xmlns:a16="http://schemas.microsoft.com/office/drawing/2014/main" id="{2E482F04-093A-5A64-92BA-353EF34A474E}"/>
              </a:ext>
            </a:extLst>
          </xdr:cNvPr>
          <xdr:cNvSpPr/>
        </xdr:nvSpPr>
        <xdr:spPr>
          <a:xfrm>
            <a:off x="4249454" y="18545175"/>
            <a:ext cx="1743075" cy="1409700"/>
          </a:xfrm>
          <a:prstGeom prst="rect">
            <a:avLst/>
          </a:prstGeom>
          <a:solidFill>
            <a:srgbClr val="92D050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1473" name="Group 251">
            <a:extLst>
              <a:ext uri="{FF2B5EF4-FFF2-40B4-BE49-F238E27FC236}">
                <a16:creationId xmlns:a16="http://schemas.microsoft.com/office/drawing/2014/main" id="{487C5212-664E-9A80-7D20-9EC2FF5FDAC2}"/>
              </a:ext>
            </a:extLst>
          </xdr:cNvPr>
          <xdr:cNvGrpSpPr/>
        </xdr:nvGrpSpPr>
        <xdr:grpSpPr>
          <a:xfrm>
            <a:off x="4848224" y="18735676"/>
            <a:ext cx="381001" cy="1066799"/>
            <a:chOff x="4867274" y="18630901"/>
            <a:chExt cx="381001" cy="1066799"/>
          </a:xfrm>
        </xdr:grpSpPr>
        <xdr:grpSp>
          <xdr:nvGrpSpPr>
            <xdr:cNvPr id="1474" name="Group 248">
              <a:extLst>
                <a:ext uri="{FF2B5EF4-FFF2-40B4-BE49-F238E27FC236}">
                  <a16:creationId xmlns:a16="http://schemas.microsoft.com/office/drawing/2014/main" id="{3EE5921B-E459-E09D-7E49-59E38808840D}"/>
                </a:ext>
              </a:extLst>
            </xdr:cNvPr>
            <xdr:cNvGrpSpPr/>
          </xdr:nvGrpSpPr>
          <xdr:grpSpPr>
            <a:xfrm>
              <a:off x="4867275" y="18630901"/>
              <a:ext cx="380999" cy="800100"/>
              <a:chOff x="4933950" y="18811876"/>
              <a:chExt cx="380999" cy="971549"/>
            </a:xfrm>
          </xdr:grpSpPr>
          <xdr:grpSp>
            <xdr:nvGrpSpPr>
              <xdr:cNvPr id="1476" name="Group 239">
                <a:extLst>
                  <a:ext uri="{FF2B5EF4-FFF2-40B4-BE49-F238E27FC236}">
                    <a16:creationId xmlns:a16="http://schemas.microsoft.com/office/drawing/2014/main" id="{2E99FBC3-6BE5-EDBD-834A-3D09EAAC1E3E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33950" y="18811876"/>
                <a:ext cx="380999" cy="971549"/>
                <a:chOff x="339" y="1152"/>
                <a:chExt cx="147" cy="433"/>
              </a:xfrm>
            </xdr:grpSpPr>
            <xdr:sp macro="" textlink="">
              <xdr:nvSpPr>
                <xdr:cNvPr id="1478" name="Line 11">
                  <a:extLst>
                    <a:ext uri="{FF2B5EF4-FFF2-40B4-BE49-F238E27FC236}">
                      <a16:creationId xmlns:a16="http://schemas.microsoft.com/office/drawing/2014/main" id="{305EDE54-E5A5-616A-F47F-28A7B9B95CEE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486" y="1152"/>
                  <a:ext cx="0" cy="432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479" name="Line 12">
                  <a:extLst>
                    <a:ext uri="{FF2B5EF4-FFF2-40B4-BE49-F238E27FC236}">
                      <a16:creationId xmlns:a16="http://schemas.microsoft.com/office/drawing/2014/main" id="{61317A64-A92C-7B2D-5883-486832AEAAE1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584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480" name="Line 13">
                  <a:extLst>
                    <a:ext uri="{FF2B5EF4-FFF2-40B4-BE49-F238E27FC236}">
                      <a16:creationId xmlns:a16="http://schemas.microsoft.com/office/drawing/2014/main" id="{55001843-E086-B8CB-9F0B-1544FA5B3832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440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481" name="Line 14">
                  <a:extLst>
                    <a:ext uri="{FF2B5EF4-FFF2-40B4-BE49-F238E27FC236}">
                      <a16:creationId xmlns:a16="http://schemas.microsoft.com/office/drawing/2014/main" id="{73DD0EE7-5479-B6A0-C4C2-CE710730FD9A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296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  <xdr:sp macro="" textlink="">
              <xdr:nvSpPr>
                <xdr:cNvPr id="1482" name="Line 15">
                  <a:extLst>
                    <a:ext uri="{FF2B5EF4-FFF2-40B4-BE49-F238E27FC236}">
                      <a16:creationId xmlns:a16="http://schemas.microsoft.com/office/drawing/2014/main" id="{1CD4B0E3-4FAD-0DC0-DD1A-DC334082EFB1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H="1">
                  <a:off x="339" y="1152"/>
                  <a:ext cx="141" cy="1"/>
                </a:xfrm>
                <a:prstGeom prst="line">
                  <a:avLst/>
                </a:prstGeom>
                <a:noFill/>
                <a:ln w="28575" cap="sq">
                  <a:solidFill>
                    <a:schemeClr val="tx1"/>
                  </a:solidFill>
                  <a:round/>
                  <a:headEnd/>
                  <a:tailEnd/>
                </a:ln>
                <a:effectLst/>
              </xdr:spPr>
              <xdr:txBody>
                <a:bodyPr wrap="square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>
                    <a:lnSpc>
                      <a:spcPct val="90000"/>
                    </a:lnSpc>
                    <a:spcBef>
                      <a:spcPts val="750"/>
                    </a:spcBef>
                    <a:defRPr/>
                  </a:pPr>
                  <a:endParaRPr lang="en-US" sz="1600"/>
                </a:p>
              </xdr:txBody>
            </xdr:sp>
          </xdr:grpSp>
          <xdr:cxnSp macro="">
            <xdr:nvCxnSpPr>
              <xdr:cNvPr id="1477" name="Straight Connector 246">
                <a:extLst>
                  <a:ext uri="{FF2B5EF4-FFF2-40B4-BE49-F238E27FC236}">
                    <a16:creationId xmlns:a16="http://schemas.microsoft.com/office/drawing/2014/main" id="{8E7A47F7-0B5D-5B25-EC75-E385E8E434AD}"/>
                  </a:ext>
                </a:extLst>
              </xdr:cNvPr>
              <xdr:cNvCxnSpPr>
                <a:stCxn id="1482" idx="1"/>
                <a:endCxn id="1479" idx="1"/>
              </xdr:cNvCxnSpPr>
            </xdr:nvCxnSpPr>
            <xdr:spPr>
              <a:xfrm>
                <a:off x="4933950" y="18814120"/>
                <a:ext cx="0" cy="969305"/>
              </a:xfrm>
              <a:prstGeom prst="line">
                <a:avLst/>
              </a:prstGeom>
              <a:ln w="28575"/>
            </xdr:spPr>
            <xdr:style>
              <a:lnRef idx="3">
                <a:schemeClr val="dk1"/>
              </a:lnRef>
              <a:fillRef idx="0">
                <a:schemeClr val="dk1"/>
              </a:fillRef>
              <a:effectRef idx="2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475" name="Rectangle 1474">
              <a:extLst>
                <a:ext uri="{FF2B5EF4-FFF2-40B4-BE49-F238E27FC236}">
                  <a16:creationId xmlns:a16="http://schemas.microsoft.com/office/drawing/2014/main" id="{16213786-B2C1-F93C-2AB2-BC08FD4A162F}"/>
                </a:ext>
              </a:extLst>
            </xdr:cNvPr>
            <xdr:cNvSpPr/>
          </xdr:nvSpPr>
          <xdr:spPr>
            <a:xfrm>
              <a:off x="4867274" y="19431000"/>
              <a:ext cx="381001" cy="266700"/>
            </a:xfrm>
            <a:prstGeom prst="rect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36</xdr:col>
      <xdr:colOff>6739466</xdr:colOff>
      <xdr:row>151</xdr:row>
      <xdr:rowOff>338667</xdr:rowOff>
    </xdr:from>
    <xdr:to>
      <xdr:col>40</xdr:col>
      <xdr:colOff>990600</xdr:colOff>
      <xdr:row>151</xdr:row>
      <xdr:rowOff>381000</xdr:rowOff>
    </xdr:to>
    <xdr:cxnSp macro="">
      <xdr:nvCxnSpPr>
        <xdr:cNvPr id="1483" name="Straight Arrow Connector 527">
          <a:extLst>
            <a:ext uri="{FF2B5EF4-FFF2-40B4-BE49-F238E27FC236}">
              <a16:creationId xmlns:a16="http://schemas.microsoft.com/office/drawing/2014/main" id="{D8B26CC5-216F-420B-AD2E-07CC06131818}"/>
            </a:ext>
          </a:extLst>
        </xdr:cNvPr>
        <xdr:cNvCxnSpPr/>
      </xdr:nvCxnSpPr>
      <xdr:spPr>
        <a:xfrm>
          <a:off x="107780666" y="80577267"/>
          <a:ext cx="10481734" cy="42333"/>
        </a:xfrm>
        <a:prstGeom prst="straightConnector1">
          <a:avLst/>
        </a:prstGeom>
        <a:ln w="7620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190500</xdr:colOff>
      <xdr:row>93</xdr:row>
      <xdr:rowOff>816426</xdr:rowOff>
    </xdr:from>
    <xdr:to>
      <xdr:col>35</xdr:col>
      <xdr:colOff>744257</xdr:colOff>
      <xdr:row>100</xdr:row>
      <xdr:rowOff>380999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8B7E2F4E-645F-4ACD-9B36-C0F335C8C9BD}"/>
            </a:ext>
          </a:extLst>
        </xdr:cNvPr>
        <xdr:cNvGrpSpPr/>
      </xdr:nvGrpSpPr>
      <xdr:grpSpPr>
        <a:xfrm>
          <a:off x="117081300" y="51260826"/>
          <a:ext cx="5659157" cy="3831773"/>
          <a:chOff x="55467048" y="12967956"/>
          <a:chExt cx="4536471" cy="3835121"/>
        </a:xfrm>
      </xdr:grpSpPr>
      <xdr:grpSp>
        <xdr:nvGrpSpPr>
          <xdr:cNvPr id="48" name="Group 665">
            <a:extLst>
              <a:ext uri="{FF2B5EF4-FFF2-40B4-BE49-F238E27FC236}">
                <a16:creationId xmlns:a16="http://schemas.microsoft.com/office/drawing/2014/main" id="{4A5FA83D-B8F1-DE2B-33BE-CFAEFCFC6262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139" name="Arrow: Right 666">
              <a:extLst>
                <a:ext uri="{FF2B5EF4-FFF2-40B4-BE49-F238E27FC236}">
                  <a16:creationId xmlns:a16="http://schemas.microsoft.com/office/drawing/2014/main" id="{3B961739-EDA0-9694-52A6-56C7413BC1F0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142" name="Group 667">
              <a:extLst>
                <a:ext uri="{FF2B5EF4-FFF2-40B4-BE49-F238E27FC236}">
                  <a16:creationId xmlns:a16="http://schemas.microsoft.com/office/drawing/2014/main" id="{82F88244-9CF8-888D-A7DA-73139937C441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143" name="Rectangle 142">
                <a:extLst>
                  <a:ext uri="{FF2B5EF4-FFF2-40B4-BE49-F238E27FC236}">
                    <a16:creationId xmlns:a16="http://schemas.microsoft.com/office/drawing/2014/main" id="{52633CB3-C0B8-FDD8-3B98-78707E8F073E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4" name="Rectangle 143">
                <a:extLst>
                  <a:ext uri="{FF2B5EF4-FFF2-40B4-BE49-F238E27FC236}">
                    <a16:creationId xmlns:a16="http://schemas.microsoft.com/office/drawing/2014/main" id="{1FB875D8-D7F9-2A83-A2A9-E6CF52094532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5" name="Rectangle 144">
                <a:extLst>
                  <a:ext uri="{FF2B5EF4-FFF2-40B4-BE49-F238E27FC236}">
                    <a16:creationId xmlns:a16="http://schemas.microsoft.com/office/drawing/2014/main" id="{22D2AD8F-EF9A-9093-AC4D-914FDEB45384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46" name="Isosceles Triangle 674">
                <a:extLst>
                  <a:ext uri="{FF2B5EF4-FFF2-40B4-BE49-F238E27FC236}">
                    <a16:creationId xmlns:a16="http://schemas.microsoft.com/office/drawing/2014/main" id="{F5CDC9B8-6628-D672-0307-32729B4F19BD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49" name="Group 89">
            <a:extLst>
              <a:ext uri="{FF2B5EF4-FFF2-40B4-BE49-F238E27FC236}">
                <a16:creationId xmlns:a16="http://schemas.microsoft.com/office/drawing/2014/main" id="{784CF84C-1CF1-F18E-1D66-1F9C0B2A8F62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113" name="Rectangle 112">
              <a:extLst>
                <a:ext uri="{FF2B5EF4-FFF2-40B4-BE49-F238E27FC236}">
                  <a16:creationId xmlns:a16="http://schemas.microsoft.com/office/drawing/2014/main" id="{73E0EB1F-DCE3-AB8F-8314-9D9B8BF71797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114" name="Straight Connector 92">
              <a:extLst>
                <a:ext uri="{FF2B5EF4-FFF2-40B4-BE49-F238E27FC236}">
                  <a16:creationId xmlns:a16="http://schemas.microsoft.com/office/drawing/2014/main" id="{7E0D5D06-4E84-D808-886A-3A53E7015270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6" name="Isosceles Triangle 103">
              <a:extLst>
                <a:ext uri="{FF2B5EF4-FFF2-40B4-BE49-F238E27FC236}">
                  <a16:creationId xmlns:a16="http://schemas.microsoft.com/office/drawing/2014/main" id="{9F8A18D8-1A55-105D-5FC2-09DA7F67D73D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37" name="Rectangle 136">
              <a:extLst>
                <a:ext uri="{FF2B5EF4-FFF2-40B4-BE49-F238E27FC236}">
                  <a16:creationId xmlns:a16="http://schemas.microsoft.com/office/drawing/2014/main" id="{214DC592-A0C8-05B8-BF2E-AC5E17FADCF3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57" name="Group 224">
            <a:extLst>
              <a:ext uri="{FF2B5EF4-FFF2-40B4-BE49-F238E27FC236}">
                <a16:creationId xmlns:a16="http://schemas.microsoft.com/office/drawing/2014/main" id="{83E94822-B38B-A36D-F757-8437EE68E5A1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84" name="Rectangle 83">
              <a:extLst>
                <a:ext uri="{FF2B5EF4-FFF2-40B4-BE49-F238E27FC236}">
                  <a16:creationId xmlns:a16="http://schemas.microsoft.com/office/drawing/2014/main" id="{A1996A93-1B5A-A423-17D7-F83BE7D0C133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86" name="Group 212">
              <a:extLst>
                <a:ext uri="{FF2B5EF4-FFF2-40B4-BE49-F238E27FC236}">
                  <a16:creationId xmlns:a16="http://schemas.microsoft.com/office/drawing/2014/main" id="{0CA0B12A-7880-9A89-0E2E-372B2E45DDF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108" name="Line 11">
                <a:extLst>
                  <a:ext uri="{FF2B5EF4-FFF2-40B4-BE49-F238E27FC236}">
                    <a16:creationId xmlns:a16="http://schemas.microsoft.com/office/drawing/2014/main" id="{B79D9CB7-9DF4-EFE1-D764-9304B09C98A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09" name="Line 12">
                <a:extLst>
                  <a:ext uri="{FF2B5EF4-FFF2-40B4-BE49-F238E27FC236}">
                    <a16:creationId xmlns:a16="http://schemas.microsoft.com/office/drawing/2014/main" id="{836D80FA-110E-E195-6E5E-D2A005E1EB52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10" name="Line 13">
                <a:extLst>
                  <a:ext uri="{FF2B5EF4-FFF2-40B4-BE49-F238E27FC236}">
                    <a16:creationId xmlns:a16="http://schemas.microsoft.com/office/drawing/2014/main" id="{CEC83C96-6EE1-80DF-0321-B37D039A27B7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11" name="Line 14">
                <a:extLst>
                  <a:ext uri="{FF2B5EF4-FFF2-40B4-BE49-F238E27FC236}">
                    <a16:creationId xmlns:a16="http://schemas.microsoft.com/office/drawing/2014/main" id="{D794CF0F-C2B2-0344-092D-40661DA59056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112" name="Line 15">
                <a:extLst>
                  <a:ext uri="{FF2B5EF4-FFF2-40B4-BE49-F238E27FC236}">
                    <a16:creationId xmlns:a16="http://schemas.microsoft.com/office/drawing/2014/main" id="{98BD59F1-7C88-B048-E99C-FE46F067905C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80" name="Group 206">
            <a:extLst>
              <a:ext uri="{FF2B5EF4-FFF2-40B4-BE49-F238E27FC236}">
                <a16:creationId xmlns:a16="http://schemas.microsoft.com/office/drawing/2014/main" id="{C4923168-431B-1849-28AC-CDBE826E6BBC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81" name="Rectangle 80">
              <a:extLst>
                <a:ext uri="{FF2B5EF4-FFF2-40B4-BE49-F238E27FC236}">
                  <a16:creationId xmlns:a16="http://schemas.microsoft.com/office/drawing/2014/main" id="{D7854E88-D435-3C7D-0389-BFFE15353B83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82" name="Arc 26">
              <a:extLst>
                <a:ext uri="{FF2B5EF4-FFF2-40B4-BE49-F238E27FC236}">
                  <a16:creationId xmlns:a16="http://schemas.microsoft.com/office/drawing/2014/main" id="{8B50EE14-47D5-E252-8939-DFCD42498C51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29</xdr:col>
      <xdr:colOff>132861</xdr:colOff>
      <xdr:row>149</xdr:row>
      <xdr:rowOff>354298</xdr:rowOff>
    </xdr:from>
    <xdr:to>
      <xdr:col>31</xdr:col>
      <xdr:colOff>367323</xdr:colOff>
      <xdr:row>154</xdr:row>
      <xdr:rowOff>295683</xdr:rowOff>
    </xdr:to>
    <xdr:grpSp>
      <xdr:nvGrpSpPr>
        <xdr:cNvPr id="190" name="Groupe 189">
          <a:extLst>
            <a:ext uri="{FF2B5EF4-FFF2-40B4-BE49-F238E27FC236}">
              <a16:creationId xmlns:a16="http://schemas.microsoft.com/office/drawing/2014/main" id="{98143524-699B-4F86-8952-467F09676C22}"/>
            </a:ext>
          </a:extLst>
        </xdr:cNvPr>
        <xdr:cNvGrpSpPr/>
      </xdr:nvGrpSpPr>
      <xdr:grpSpPr>
        <a:xfrm>
          <a:off x="96449661" y="87069898"/>
          <a:ext cx="5111262" cy="3294185"/>
          <a:chOff x="55467048" y="12967956"/>
          <a:chExt cx="4536471" cy="3835121"/>
        </a:xfrm>
      </xdr:grpSpPr>
      <xdr:grpSp>
        <xdr:nvGrpSpPr>
          <xdr:cNvPr id="209" name="Group 665">
            <a:extLst>
              <a:ext uri="{FF2B5EF4-FFF2-40B4-BE49-F238E27FC236}">
                <a16:creationId xmlns:a16="http://schemas.microsoft.com/office/drawing/2014/main" id="{CB31EFEA-43A5-5EA1-57CC-CE522618449D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394" name="Arrow: Right 666">
              <a:extLst>
                <a:ext uri="{FF2B5EF4-FFF2-40B4-BE49-F238E27FC236}">
                  <a16:creationId xmlns:a16="http://schemas.microsoft.com/office/drawing/2014/main" id="{BDAFA673-FC57-D823-6D40-B2E5A64C57AB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399" name="Group 667">
              <a:extLst>
                <a:ext uri="{FF2B5EF4-FFF2-40B4-BE49-F238E27FC236}">
                  <a16:creationId xmlns:a16="http://schemas.microsoft.com/office/drawing/2014/main" id="{EC336710-CA09-34D4-6A85-18B428669159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400" name="Rectangle 399">
                <a:extLst>
                  <a:ext uri="{FF2B5EF4-FFF2-40B4-BE49-F238E27FC236}">
                    <a16:creationId xmlns:a16="http://schemas.microsoft.com/office/drawing/2014/main" id="{3B6161C6-57CF-A117-E8CA-05CB507CC9C1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401" name="Rectangle 400">
                <a:extLst>
                  <a:ext uri="{FF2B5EF4-FFF2-40B4-BE49-F238E27FC236}">
                    <a16:creationId xmlns:a16="http://schemas.microsoft.com/office/drawing/2014/main" id="{3C485FBE-AD71-80A7-09DE-E9B660F9CE26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402" name="Rectangle 401">
                <a:extLst>
                  <a:ext uri="{FF2B5EF4-FFF2-40B4-BE49-F238E27FC236}">
                    <a16:creationId xmlns:a16="http://schemas.microsoft.com/office/drawing/2014/main" id="{F560216D-5472-D966-5182-A88BA6AD07C7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403" name="Isosceles Triangle 674">
                <a:extLst>
                  <a:ext uri="{FF2B5EF4-FFF2-40B4-BE49-F238E27FC236}">
                    <a16:creationId xmlns:a16="http://schemas.microsoft.com/office/drawing/2014/main" id="{58A635CC-8EF4-0039-E492-A465399725C3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211" name="Group 89">
            <a:extLst>
              <a:ext uri="{FF2B5EF4-FFF2-40B4-BE49-F238E27FC236}">
                <a16:creationId xmlns:a16="http://schemas.microsoft.com/office/drawing/2014/main" id="{743178A5-EBE0-4350-3A3E-B2776B86D92D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251" name="Rectangle 250">
              <a:extLst>
                <a:ext uri="{FF2B5EF4-FFF2-40B4-BE49-F238E27FC236}">
                  <a16:creationId xmlns:a16="http://schemas.microsoft.com/office/drawing/2014/main" id="{EF034491-F7B6-F1D2-D184-B7C2D4D0FE3A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256" name="Straight Connector 92">
              <a:extLst>
                <a:ext uri="{FF2B5EF4-FFF2-40B4-BE49-F238E27FC236}">
                  <a16:creationId xmlns:a16="http://schemas.microsoft.com/office/drawing/2014/main" id="{621BBB47-A446-00A3-4148-5125E9612A94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7" name="Isosceles Triangle 103">
              <a:extLst>
                <a:ext uri="{FF2B5EF4-FFF2-40B4-BE49-F238E27FC236}">
                  <a16:creationId xmlns:a16="http://schemas.microsoft.com/office/drawing/2014/main" id="{32857242-1096-0E71-2BE5-CC210B926B9F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8" name="Rectangle 257">
              <a:extLst>
                <a:ext uri="{FF2B5EF4-FFF2-40B4-BE49-F238E27FC236}">
                  <a16:creationId xmlns:a16="http://schemas.microsoft.com/office/drawing/2014/main" id="{6486AFD6-A06A-D714-D426-46AED82F1BD3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219" name="Group 224">
            <a:extLst>
              <a:ext uri="{FF2B5EF4-FFF2-40B4-BE49-F238E27FC236}">
                <a16:creationId xmlns:a16="http://schemas.microsoft.com/office/drawing/2014/main" id="{D1386A8D-5F83-C001-03D2-C24F74FCE7B4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228" name="Rectangle 227">
              <a:extLst>
                <a:ext uri="{FF2B5EF4-FFF2-40B4-BE49-F238E27FC236}">
                  <a16:creationId xmlns:a16="http://schemas.microsoft.com/office/drawing/2014/main" id="{DF248899-A007-7FBB-4B3E-16019FA74ED8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229" name="Group 212">
              <a:extLst>
                <a:ext uri="{FF2B5EF4-FFF2-40B4-BE49-F238E27FC236}">
                  <a16:creationId xmlns:a16="http://schemas.microsoft.com/office/drawing/2014/main" id="{EBD50B84-70BE-482B-6E48-9621A8F2D6F3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230" name="Line 11">
                <a:extLst>
                  <a:ext uri="{FF2B5EF4-FFF2-40B4-BE49-F238E27FC236}">
                    <a16:creationId xmlns:a16="http://schemas.microsoft.com/office/drawing/2014/main" id="{44EBCC26-59AA-F63E-D9A8-9F17E8D6844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231" name="Line 12">
                <a:extLst>
                  <a:ext uri="{FF2B5EF4-FFF2-40B4-BE49-F238E27FC236}">
                    <a16:creationId xmlns:a16="http://schemas.microsoft.com/office/drawing/2014/main" id="{75683E54-58D3-E1D6-3FC6-D2023D9F4A0C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232" name="Line 13">
                <a:extLst>
                  <a:ext uri="{FF2B5EF4-FFF2-40B4-BE49-F238E27FC236}">
                    <a16:creationId xmlns:a16="http://schemas.microsoft.com/office/drawing/2014/main" id="{96E1FB1D-F194-F976-B73E-7994E6727742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246" name="Line 14">
                <a:extLst>
                  <a:ext uri="{FF2B5EF4-FFF2-40B4-BE49-F238E27FC236}">
                    <a16:creationId xmlns:a16="http://schemas.microsoft.com/office/drawing/2014/main" id="{B216684D-BBED-D64D-9327-8663DFFD43D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248" name="Line 15">
                <a:extLst>
                  <a:ext uri="{FF2B5EF4-FFF2-40B4-BE49-F238E27FC236}">
                    <a16:creationId xmlns:a16="http://schemas.microsoft.com/office/drawing/2014/main" id="{65347015-C4C4-F032-F7D4-4B52C03DE3D2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220" name="Group 206">
            <a:extLst>
              <a:ext uri="{FF2B5EF4-FFF2-40B4-BE49-F238E27FC236}">
                <a16:creationId xmlns:a16="http://schemas.microsoft.com/office/drawing/2014/main" id="{D0F16F8B-DFEB-F1D1-666A-9820E5C72205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224" name="Rectangle 223">
              <a:extLst>
                <a:ext uri="{FF2B5EF4-FFF2-40B4-BE49-F238E27FC236}">
                  <a16:creationId xmlns:a16="http://schemas.microsoft.com/office/drawing/2014/main" id="{1BF2C4F0-7EF1-9328-2492-A47AAD2A7FCA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26" name="Arc 26">
              <a:extLst>
                <a:ext uri="{FF2B5EF4-FFF2-40B4-BE49-F238E27FC236}">
                  <a16:creationId xmlns:a16="http://schemas.microsoft.com/office/drawing/2014/main" id="{806A9A7D-7199-AB31-B455-13AB9E6C252A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23</xdr:col>
      <xdr:colOff>0</xdr:colOff>
      <xdr:row>147</xdr:row>
      <xdr:rowOff>63500</xdr:rowOff>
    </xdr:from>
    <xdr:to>
      <xdr:col>25</xdr:col>
      <xdr:colOff>381000</xdr:colOff>
      <xdr:row>156</xdr:row>
      <xdr:rowOff>15425</xdr:rowOff>
    </xdr:to>
    <xdr:grpSp>
      <xdr:nvGrpSpPr>
        <xdr:cNvPr id="489" name="Group 72">
          <a:extLst>
            <a:ext uri="{FF2B5EF4-FFF2-40B4-BE49-F238E27FC236}">
              <a16:creationId xmlns:a16="http://schemas.microsoft.com/office/drawing/2014/main" id="{8E4F48FB-F41B-46E6-87FD-C6DB39E824B0}"/>
            </a:ext>
          </a:extLst>
        </xdr:cNvPr>
        <xdr:cNvGrpSpPr/>
      </xdr:nvGrpSpPr>
      <xdr:grpSpPr>
        <a:xfrm>
          <a:off x="58064400" y="85864700"/>
          <a:ext cx="17297400" cy="5133525"/>
          <a:chOff x="3150377" y="8191500"/>
          <a:chExt cx="1878823" cy="1609725"/>
        </a:xfrm>
        <a:solidFill>
          <a:srgbClr val="00B0F0"/>
        </a:solidFill>
      </xdr:grpSpPr>
      <xdr:grpSp>
        <xdr:nvGrpSpPr>
          <xdr:cNvPr id="490" name="Group 66">
            <a:extLst>
              <a:ext uri="{FF2B5EF4-FFF2-40B4-BE49-F238E27FC236}">
                <a16:creationId xmlns:a16="http://schemas.microsoft.com/office/drawing/2014/main" id="{C7AF954C-A347-FE07-403F-58099FA74E50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  <a:grpFill/>
        </xdr:grpSpPr>
        <xdr:grpSp>
          <xdr:nvGrpSpPr>
            <xdr:cNvPr id="499" name="Group 67">
              <a:extLst>
                <a:ext uri="{FF2B5EF4-FFF2-40B4-BE49-F238E27FC236}">
                  <a16:creationId xmlns:a16="http://schemas.microsoft.com/office/drawing/2014/main" id="{0A44E7E1-D6EA-DEBB-2C89-EE9CCEFAD195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  <a:grpFill/>
          </xdr:grpSpPr>
          <xdr:sp macro="" textlink="">
            <xdr:nvSpPr>
              <xdr:cNvPr id="512" name="Rectangle 511">
                <a:extLst>
                  <a:ext uri="{FF2B5EF4-FFF2-40B4-BE49-F238E27FC236}">
                    <a16:creationId xmlns:a16="http://schemas.microsoft.com/office/drawing/2014/main" id="{96602CFE-4503-EEFB-01C0-4557939CD9FF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13" name="Rectangle 512">
                <a:extLst>
                  <a:ext uri="{FF2B5EF4-FFF2-40B4-BE49-F238E27FC236}">
                    <a16:creationId xmlns:a16="http://schemas.microsoft.com/office/drawing/2014/main" id="{884CD0B7-4959-883A-B1F9-8B7151799618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14" name="Oval 71">
                <a:extLst>
                  <a:ext uri="{FF2B5EF4-FFF2-40B4-BE49-F238E27FC236}">
                    <a16:creationId xmlns:a16="http://schemas.microsoft.com/office/drawing/2014/main" id="{1D8621C6-6310-149A-DC07-B1445B3BD4AC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501" name="Freeform: Shape 68">
              <a:extLst>
                <a:ext uri="{FF2B5EF4-FFF2-40B4-BE49-F238E27FC236}">
                  <a16:creationId xmlns:a16="http://schemas.microsoft.com/office/drawing/2014/main" id="{67D75324-2C60-FDAC-02E1-7BEB4AF6D42E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492" name="Group 60">
            <a:extLst>
              <a:ext uri="{FF2B5EF4-FFF2-40B4-BE49-F238E27FC236}">
                <a16:creationId xmlns:a16="http://schemas.microsoft.com/office/drawing/2014/main" id="{50C3B953-69C4-21DA-C883-73E6564BBED2}"/>
              </a:ext>
            </a:extLst>
          </xdr:cNvPr>
          <xdr:cNvGrpSpPr/>
        </xdr:nvGrpSpPr>
        <xdr:grpSpPr>
          <a:xfrm>
            <a:off x="3150377" y="8391525"/>
            <a:ext cx="1714500" cy="1409700"/>
            <a:chOff x="607202" y="7658100"/>
            <a:chExt cx="1714500" cy="1409700"/>
          </a:xfrm>
          <a:grpFill/>
        </xdr:grpSpPr>
        <xdr:grpSp>
          <xdr:nvGrpSpPr>
            <xdr:cNvPr id="493" name="Group 61">
              <a:extLst>
                <a:ext uri="{FF2B5EF4-FFF2-40B4-BE49-F238E27FC236}">
                  <a16:creationId xmlns:a16="http://schemas.microsoft.com/office/drawing/2014/main" id="{89E6E79A-73A3-8353-E3AD-8B27C973E172}"/>
                </a:ext>
              </a:extLst>
            </xdr:cNvPr>
            <xdr:cNvGrpSpPr/>
          </xdr:nvGrpSpPr>
          <xdr:grpSpPr>
            <a:xfrm>
              <a:off x="607202" y="7658100"/>
              <a:ext cx="1714500" cy="1409700"/>
              <a:chOff x="597677" y="7648575"/>
              <a:chExt cx="1714500" cy="1409700"/>
            </a:xfrm>
            <a:grpFill/>
          </xdr:grpSpPr>
          <xdr:sp macro="" textlink="">
            <xdr:nvSpPr>
              <xdr:cNvPr id="495" name="Rectangle 494">
                <a:extLst>
                  <a:ext uri="{FF2B5EF4-FFF2-40B4-BE49-F238E27FC236}">
                    <a16:creationId xmlns:a16="http://schemas.microsoft.com/office/drawing/2014/main" id="{F4B131E7-B811-FC9B-58C5-D4D91E56D69B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497" name="Rectangle 496">
                <a:extLst>
                  <a:ext uri="{FF2B5EF4-FFF2-40B4-BE49-F238E27FC236}">
                    <a16:creationId xmlns:a16="http://schemas.microsoft.com/office/drawing/2014/main" id="{5B3BC55E-0319-49D7-AC8F-3A59D84B8931}"/>
                  </a:ext>
                </a:extLst>
              </xdr:cNvPr>
              <xdr:cNvSpPr/>
            </xdr:nvSpPr>
            <xdr:spPr>
              <a:xfrm>
                <a:off x="597677" y="7658099"/>
                <a:ext cx="1714500" cy="592877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fr-FR" sz="6000" b="1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Seal</a:t>
                </a:r>
                <a:r>
                  <a:rPr lang="fr-FR" sz="6000" b="1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Insertion</a:t>
                </a:r>
                <a:endParaRPr lang="fr-FR" sz="6000" b="1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498" name="Oval 65">
                <a:extLst>
                  <a:ext uri="{FF2B5EF4-FFF2-40B4-BE49-F238E27FC236}">
                    <a16:creationId xmlns:a16="http://schemas.microsoft.com/office/drawing/2014/main" id="{FB10E939-0B11-D8FA-A410-CC8726CFF14B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494" name="Freeform: Shape 62">
              <a:extLst>
                <a:ext uri="{FF2B5EF4-FFF2-40B4-BE49-F238E27FC236}">
                  <a16:creationId xmlns:a16="http://schemas.microsoft.com/office/drawing/2014/main" id="{F3421D3A-E148-0FA0-2E59-78F21671BFAE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31</xdr:col>
      <xdr:colOff>0</xdr:colOff>
      <xdr:row>147</xdr:row>
      <xdr:rowOff>0</xdr:rowOff>
    </xdr:from>
    <xdr:to>
      <xdr:col>33</xdr:col>
      <xdr:colOff>293410</xdr:colOff>
      <xdr:row>155</xdr:row>
      <xdr:rowOff>290458</xdr:rowOff>
    </xdr:to>
    <xdr:grpSp>
      <xdr:nvGrpSpPr>
        <xdr:cNvPr id="515" name="Group 72">
          <a:extLst>
            <a:ext uri="{FF2B5EF4-FFF2-40B4-BE49-F238E27FC236}">
              <a16:creationId xmlns:a16="http://schemas.microsoft.com/office/drawing/2014/main" id="{555C2A3A-7C96-446E-8601-3A0BB78A9C98}"/>
            </a:ext>
          </a:extLst>
        </xdr:cNvPr>
        <xdr:cNvGrpSpPr/>
      </xdr:nvGrpSpPr>
      <xdr:grpSpPr>
        <a:xfrm>
          <a:off x="101193600" y="85801200"/>
          <a:ext cx="15990610" cy="5014858"/>
          <a:chOff x="3150377" y="8191500"/>
          <a:chExt cx="1878823" cy="1609725"/>
        </a:xfrm>
        <a:solidFill>
          <a:srgbClr val="00B0F0"/>
        </a:solidFill>
      </xdr:grpSpPr>
      <xdr:grpSp>
        <xdr:nvGrpSpPr>
          <xdr:cNvPr id="516" name="Group 66">
            <a:extLst>
              <a:ext uri="{FF2B5EF4-FFF2-40B4-BE49-F238E27FC236}">
                <a16:creationId xmlns:a16="http://schemas.microsoft.com/office/drawing/2014/main" id="{521E969B-EAC1-2802-FA01-48C3C7C3D854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  <a:grpFill/>
        </xdr:grpSpPr>
        <xdr:grpSp>
          <xdr:nvGrpSpPr>
            <xdr:cNvPr id="523" name="Group 67">
              <a:extLst>
                <a:ext uri="{FF2B5EF4-FFF2-40B4-BE49-F238E27FC236}">
                  <a16:creationId xmlns:a16="http://schemas.microsoft.com/office/drawing/2014/main" id="{1DE989C0-1D1B-036D-4949-549C950033A2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  <a:grpFill/>
          </xdr:grpSpPr>
          <xdr:sp macro="" textlink="">
            <xdr:nvSpPr>
              <xdr:cNvPr id="528" name="Rectangle 527">
                <a:extLst>
                  <a:ext uri="{FF2B5EF4-FFF2-40B4-BE49-F238E27FC236}">
                    <a16:creationId xmlns:a16="http://schemas.microsoft.com/office/drawing/2014/main" id="{0782D751-C5D1-9F0F-F682-4BD9F92DD185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29" name="Rectangle 528">
                <a:extLst>
                  <a:ext uri="{FF2B5EF4-FFF2-40B4-BE49-F238E27FC236}">
                    <a16:creationId xmlns:a16="http://schemas.microsoft.com/office/drawing/2014/main" id="{B591AA04-39A4-4FA5-C78E-C5D049C3A15B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31" name="Oval 71">
                <a:extLst>
                  <a:ext uri="{FF2B5EF4-FFF2-40B4-BE49-F238E27FC236}">
                    <a16:creationId xmlns:a16="http://schemas.microsoft.com/office/drawing/2014/main" id="{69173C22-F461-77CA-99E0-ADCD41726593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524" name="Freeform: Shape 68">
              <a:extLst>
                <a:ext uri="{FF2B5EF4-FFF2-40B4-BE49-F238E27FC236}">
                  <a16:creationId xmlns:a16="http://schemas.microsoft.com/office/drawing/2014/main" id="{B7011426-E8D8-2BD5-71D3-81D1741FB4CB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517" name="Group 60">
            <a:extLst>
              <a:ext uri="{FF2B5EF4-FFF2-40B4-BE49-F238E27FC236}">
                <a16:creationId xmlns:a16="http://schemas.microsoft.com/office/drawing/2014/main" id="{A5B99EB8-6DB7-EE42-B5DB-EE81FA446939}"/>
              </a:ext>
            </a:extLst>
          </xdr:cNvPr>
          <xdr:cNvGrpSpPr/>
        </xdr:nvGrpSpPr>
        <xdr:grpSpPr>
          <a:xfrm>
            <a:off x="3150377" y="8391525"/>
            <a:ext cx="1714500" cy="1409700"/>
            <a:chOff x="607202" y="7658100"/>
            <a:chExt cx="1714500" cy="1409700"/>
          </a:xfrm>
          <a:grpFill/>
        </xdr:grpSpPr>
        <xdr:grpSp>
          <xdr:nvGrpSpPr>
            <xdr:cNvPr id="518" name="Group 61">
              <a:extLst>
                <a:ext uri="{FF2B5EF4-FFF2-40B4-BE49-F238E27FC236}">
                  <a16:creationId xmlns:a16="http://schemas.microsoft.com/office/drawing/2014/main" id="{38FF563F-D8BF-72B6-B69F-6D0770E2E288}"/>
                </a:ext>
              </a:extLst>
            </xdr:cNvPr>
            <xdr:cNvGrpSpPr/>
          </xdr:nvGrpSpPr>
          <xdr:grpSpPr>
            <a:xfrm>
              <a:off x="607202" y="7658100"/>
              <a:ext cx="1714500" cy="1409700"/>
              <a:chOff x="597677" y="7648575"/>
              <a:chExt cx="1714500" cy="1409700"/>
            </a:xfrm>
            <a:grpFill/>
          </xdr:grpSpPr>
          <xdr:sp macro="" textlink="">
            <xdr:nvSpPr>
              <xdr:cNvPr id="520" name="Rectangle 519">
                <a:extLst>
                  <a:ext uri="{FF2B5EF4-FFF2-40B4-BE49-F238E27FC236}">
                    <a16:creationId xmlns:a16="http://schemas.microsoft.com/office/drawing/2014/main" id="{2520C809-9105-8658-2E17-442844B43BE7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521" name="Rectangle 520">
                <a:extLst>
                  <a:ext uri="{FF2B5EF4-FFF2-40B4-BE49-F238E27FC236}">
                    <a16:creationId xmlns:a16="http://schemas.microsoft.com/office/drawing/2014/main" id="{D26C090F-5072-D5C7-160A-697D1E2D247D}"/>
                  </a:ext>
                </a:extLst>
              </xdr:cNvPr>
              <xdr:cNvSpPr/>
            </xdr:nvSpPr>
            <xdr:spPr>
              <a:xfrm>
                <a:off x="597677" y="7658099"/>
                <a:ext cx="1714500" cy="568946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fr-FR" sz="5400" b="1">
                    <a:solidFill>
                      <a:schemeClr val="dk1"/>
                    </a:solidFill>
                    <a:effectLst/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rPr>
                  <a:t>ELOPAR</a:t>
                </a:r>
                <a:endParaRPr lang="fr-FR" sz="54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522" name="Oval 65">
                <a:extLst>
                  <a:ext uri="{FF2B5EF4-FFF2-40B4-BE49-F238E27FC236}">
                    <a16:creationId xmlns:a16="http://schemas.microsoft.com/office/drawing/2014/main" id="{492C8EFA-13A6-1A75-3554-456C10BC451A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519" name="Freeform: Shape 62">
              <a:extLst>
                <a:ext uri="{FF2B5EF4-FFF2-40B4-BE49-F238E27FC236}">
                  <a16:creationId xmlns:a16="http://schemas.microsoft.com/office/drawing/2014/main" id="{2FA31E97-EFC9-E4A5-D51F-0E7492A1E78B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35</xdr:col>
      <xdr:colOff>304800</xdr:colOff>
      <xdr:row>146</xdr:row>
      <xdr:rowOff>381000</xdr:rowOff>
    </xdr:from>
    <xdr:to>
      <xdr:col>36</xdr:col>
      <xdr:colOff>11430000</xdr:colOff>
      <xdr:row>155</xdr:row>
      <xdr:rowOff>71690</xdr:rowOff>
    </xdr:to>
    <xdr:grpSp>
      <xdr:nvGrpSpPr>
        <xdr:cNvPr id="533" name="Group 59">
          <a:extLst>
            <a:ext uri="{FF2B5EF4-FFF2-40B4-BE49-F238E27FC236}">
              <a16:creationId xmlns:a16="http://schemas.microsoft.com/office/drawing/2014/main" id="{63B7F85C-8EF7-49C4-AA8B-11362D69D4BD}"/>
            </a:ext>
          </a:extLst>
        </xdr:cNvPr>
        <xdr:cNvGrpSpPr/>
      </xdr:nvGrpSpPr>
      <xdr:grpSpPr>
        <a:xfrm>
          <a:off x="122301000" y="85725000"/>
          <a:ext cx="16611600" cy="4872290"/>
          <a:chOff x="600075" y="7658100"/>
          <a:chExt cx="1714500" cy="1409700"/>
        </a:xfrm>
        <a:solidFill>
          <a:srgbClr val="00B0F0"/>
        </a:solidFill>
      </xdr:grpSpPr>
      <xdr:grpSp>
        <xdr:nvGrpSpPr>
          <xdr:cNvPr id="534" name="Group 58">
            <a:extLst>
              <a:ext uri="{FF2B5EF4-FFF2-40B4-BE49-F238E27FC236}">
                <a16:creationId xmlns:a16="http://schemas.microsoft.com/office/drawing/2014/main" id="{B54E1266-0943-580E-77CE-947337ABEF3D}"/>
              </a:ext>
            </a:extLst>
          </xdr:cNvPr>
          <xdr:cNvGrpSpPr/>
        </xdr:nvGrpSpPr>
        <xdr:grpSpPr>
          <a:xfrm>
            <a:off x="600075" y="7658100"/>
            <a:ext cx="1714500" cy="1409700"/>
            <a:chOff x="590550" y="7648575"/>
            <a:chExt cx="1714500" cy="1409700"/>
          </a:xfrm>
          <a:grpFill/>
        </xdr:grpSpPr>
        <xdr:sp macro="" textlink="">
          <xdr:nvSpPr>
            <xdr:cNvPr id="537" name="Rectangle 536">
              <a:extLst>
                <a:ext uri="{FF2B5EF4-FFF2-40B4-BE49-F238E27FC236}">
                  <a16:creationId xmlns:a16="http://schemas.microsoft.com/office/drawing/2014/main" id="{5574B8D9-40B6-6E63-C6AF-C00FF67BEC97}"/>
                </a:ext>
              </a:extLst>
            </xdr:cNvPr>
            <xdr:cNvSpPr/>
          </xdr:nvSpPr>
          <xdr:spPr>
            <a:xfrm>
              <a:off x="600075" y="7648575"/>
              <a:ext cx="1704975" cy="1409700"/>
            </a:xfrm>
            <a:prstGeom prst="rect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38" name="Rectangle 537">
              <a:extLst>
                <a:ext uri="{FF2B5EF4-FFF2-40B4-BE49-F238E27FC236}">
                  <a16:creationId xmlns:a16="http://schemas.microsoft.com/office/drawing/2014/main" id="{CF95ED6E-E952-7197-C943-4D085807E880}"/>
                </a:ext>
              </a:extLst>
            </xdr:cNvPr>
            <xdr:cNvSpPr/>
          </xdr:nvSpPr>
          <xdr:spPr>
            <a:xfrm>
              <a:off x="590550" y="7658098"/>
              <a:ext cx="1714500" cy="577106"/>
            </a:xfrm>
            <a:prstGeom prst="rect">
              <a:avLst/>
            </a:prstGeom>
            <a:grpFill/>
            <a:ln w="381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6600" b="1" baseline="0">
                  <a:latin typeface="Times New Roman" panose="02020603050405020304" pitchFamily="18" charset="0"/>
                  <a:ea typeface="Tahoma" panose="020B0604030504040204" pitchFamily="34" charset="0"/>
                  <a:cs typeface="Times New Roman" panose="02020603050405020304" pitchFamily="18" charset="0"/>
                </a:rPr>
                <a:t>Contention</a:t>
              </a:r>
              <a:r>
                <a:rPr lang="fr-FR" sz="1600" baseline="0"/>
                <a:t> </a:t>
              </a:r>
              <a:endParaRPr lang="fr-FR" sz="1600"/>
            </a:p>
          </xdr:txBody>
        </xdr:sp>
        <xdr:sp macro="" textlink="">
          <xdr:nvSpPr>
            <xdr:cNvPr id="539" name="Oval 55">
              <a:extLst>
                <a:ext uri="{FF2B5EF4-FFF2-40B4-BE49-F238E27FC236}">
                  <a16:creationId xmlns:a16="http://schemas.microsoft.com/office/drawing/2014/main" id="{8F6AC5C7-A7DA-375D-5725-0E940915E713}"/>
                </a:ext>
              </a:extLst>
            </xdr:cNvPr>
            <xdr:cNvSpPr/>
          </xdr:nvSpPr>
          <xdr:spPr>
            <a:xfrm>
              <a:off x="676275" y="8753475"/>
              <a:ext cx="238125" cy="171450"/>
            </a:xfrm>
            <a:prstGeom prst="ellipse">
              <a:avLst/>
            </a:pr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536" name="Freeform: Shape 57">
            <a:extLst>
              <a:ext uri="{FF2B5EF4-FFF2-40B4-BE49-F238E27FC236}">
                <a16:creationId xmlns:a16="http://schemas.microsoft.com/office/drawing/2014/main" id="{11AB0AB4-FF82-F746-0577-0EC402229F48}"/>
              </a:ext>
            </a:extLst>
          </xdr:cNvPr>
          <xdr:cNvSpPr/>
        </xdr:nvSpPr>
        <xdr:spPr>
          <a:xfrm>
            <a:off x="657225" y="8886825"/>
            <a:ext cx="304800" cy="123825"/>
          </a:xfrm>
          <a:custGeom>
            <a:avLst/>
            <a:gdLst>
              <a:gd name="connsiteX0" fmla="*/ 0 w 304800"/>
              <a:gd name="connsiteY0" fmla="*/ 28575 h 123825"/>
              <a:gd name="connsiteX1" fmla="*/ 28575 w 304800"/>
              <a:gd name="connsiteY1" fmla="*/ 104775 h 123825"/>
              <a:gd name="connsiteX2" fmla="*/ 161925 w 304800"/>
              <a:gd name="connsiteY2" fmla="*/ 123825 h 123825"/>
              <a:gd name="connsiteX3" fmla="*/ 257175 w 304800"/>
              <a:gd name="connsiteY3" fmla="*/ 95250 h 123825"/>
              <a:gd name="connsiteX4" fmla="*/ 285750 w 304800"/>
              <a:gd name="connsiteY4" fmla="*/ 38100 h 123825"/>
              <a:gd name="connsiteX5" fmla="*/ 304800 w 304800"/>
              <a:gd name="connsiteY5" fmla="*/ 0 h 123825"/>
              <a:gd name="connsiteX6" fmla="*/ 295275 w 304800"/>
              <a:gd name="connsiteY6" fmla="*/ 0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04800" h="123825">
                <a:moveTo>
                  <a:pt x="0" y="28575"/>
                </a:moveTo>
                <a:lnTo>
                  <a:pt x="28575" y="104775"/>
                </a:lnTo>
                <a:lnTo>
                  <a:pt x="161925" y="123825"/>
                </a:lnTo>
                <a:lnTo>
                  <a:pt x="257175" y="95250"/>
                </a:lnTo>
                <a:lnTo>
                  <a:pt x="285750" y="38100"/>
                </a:lnTo>
                <a:lnTo>
                  <a:pt x="304800" y="0"/>
                </a:lnTo>
                <a:lnTo>
                  <a:pt x="295275" y="0"/>
                </a:lnTo>
              </a:path>
            </a:pathLst>
          </a:custGeom>
          <a:grpFill/>
          <a:ln w="381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31</xdr:col>
      <xdr:colOff>384312</xdr:colOff>
      <xdr:row>91</xdr:row>
      <xdr:rowOff>126999</xdr:rowOff>
    </xdr:from>
    <xdr:to>
      <xdr:col>33</xdr:col>
      <xdr:colOff>126999</xdr:colOff>
      <xdr:row>101</xdr:row>
      <xdr:rowOff>52950</xdr:rowOff>
    </xdr:to>
    <xdr:grpSp>
      <xdr:nvGrpSpPr>
        <xdr:cNvPr id="10" name="Group 72">
          <a:extLst>
            <a:ext uri="{FF2B5EF4-FFF2-40B4-BE49-F238E27FC236}">
              <a16:creationId xmlns:a16="http://schemas.microsoft.com/office/drawing/2014/main" id="{F68ADD6A-492A-41C8-B28C-EC1F0F5AC82B}"/>
            </a:ext>
          </a:extLst>
        </xdr:cNvPr>
        <xdr:cNvGrpSpPr/>
      </xdr:nvGrpSpPr>
      <xdr:grpSpPr>
        <a:xfrm>
          <a:off x="101577912" y="49656999"/>
          <a:ext cx="15439887" cy="5564751"/>
          <a:chOff x="3150377" y="8191500"/>
          <a:chExt cx="1878823" cy="1609725"/>
        </a:xfrm>
        <a:solidFill>
          <a:srgbClr val="00B0F0"/>
        </a:solidFill>
      </xdr:grpSpPr>
      <xdr:grpSp>
        <xdr:nvGrpSpPr>
          <xdr:cNvPr id="11" name="Group 66">
            <a:extLst>
              <a:ext uri="{FF2B5EF4-FFF2-40B4-BE49-F238E27FC236}">
                <a16:creationId xmlns:a16="http://schemas.microsoft.com/office/drawing/2014/main" id="{644F3CF5-977F-EFDC-CE30-71B3F0445B1C}"/>
              </a:ext>
            </a:extLst>
          </xdr:cNvPr>
          <xdr:cNvGrpSpPr/>
        </xdr:nvGrpSpPr>
        <xdr:grpSpPr>
          <a:xfrm>
            <a:off x="3314700" y="8191500"/>
            <a:ext cx="1714500" cy="1409700"/>
            <a:chOff x="600075" y="7658100"/>
            <a:chExt cx="1714500" cy="1409700"/>
          </a:xfrm>
          <a:grpFill/>
        </xdr:grpSpPr>
        <xdr:grpSp>
          <xdr:nvGrpSpPr>
            <xdr:cNvPr id="21" name="Group 67">
              <a:extLst>
                <a:ext uri="{FF2B5EF4-FFF2-40B4-BE49-F238E27FC236}">
                  <a16:creationId xmlns:a16="http://schemas.microsoft.com/office/drawing/2014/main" id="{DBE0721A-FD4A-8478-0727-130C8C2EFCA1}"/>
                </a:ext>
              </a:extLst>
            </xdr:cNvPr>
            <xdr:cNvGrpSpPr/>
          </xdr:nvGrpSpPr>
          <xdr:grpSpPr>
            <a:xfrm>
              <a:off x="600075" y="7658100"/>
              <a:ext cx="1714500" cy="1409700"/>
              <a:chOff x="590550" y="7648575"/>
              <a:chExt cx="1714500" cy="1409700"/>
            </a:xfrm>
            <a:grpFill/>
          </xdr:grpSpPr>
          <xdr:sp macro="" textlink="">
            <xdr:nvSpPr>
              <xdr:cNvPr id="34" name="Rectangle 33">
                <a:extLst>
                  <a:ext uri="{FF2B5EF4-FFF2-40B4-BE49-F238E27FC236}">
                    <a16:creationId xmlns:a16="http://schemas.microsoft.com/office/drawing/2014/main" id="{E079BA71-56DA-B141-5F77-814548FBE56E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45" name="Rectangle 44">
                <a:extLst>
                  <a:ext uri="{FF2B5EF4-FFF2-40B4-BE49-F238E27FC236}">
                    <a16:creationId xmlns:a16="http://schemas.microsoft.com/office/drawing/2014/main" id="{0A801B3A-4011-AF04-EB56-4E637FB474DA}"/>
                  </a:ext>
                </a:extLst>
              </xdr:cNvPr>
              <xdr:cNvSpPr/>
            </xdr:nvSpPr>
            <xdr:spPr>
              <a:xfrm>
                <a:off x="590550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46" name="Oval 71">
                <a:extLst>
                  <a:ext uri="{FF2B5EF4-FFF2-40B4-BE49-F238E27FC236}">
                    <a16:creationId xmlns:a16="http://schemas.microsoft.com/office/drawing/2014/main" id="{5ED869FD-1A05-23AD-EE5B-049C5738DB5F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33" name="Freeform: Shape 68">
              <a:extLst>
                <a:ext uri="{FF2B5EF4-FFF2-40B4-BE49-F238E27FC236}">
                  <a16:creationId xmlns:a16="http://schemas.microsoft.com/office/drawing/2014/main" id="{A294BBF8-D446-3532-216A-2068929DE170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12" name="Group 60">
            <a:extLst>
              <a:ext uri="{FF2B5EF4-FFF2-40B4-BE49-F238E27FC236}">
                <a16:creationId xmlns:a16="http://schemas.microsoft.com/office/drawing/2014/main" id="{352D5574-6844-CC5A-849E-3B241EB3AEBC}"/>
              </a:ext>
            </a:extLst>
          </xdr:cNvPr>
          <xdr:cNvGrpSpPr/>
        </xdr:nvGrpSpPr>
        <xdr:grpSpPr>
          <a:xfrm>
            <a:off x="3150377" y="8391525"/>
            <a:ext cx="1714500" cy="1409700"/>
            <a:chOff x="607202" y="7658100"/>
            <a:chExt cx="1714500" cy="1409700"/>
          </a:xfrm>
          <a:grpFill/>
        </xdr:grpSpPr>
        <xdr:grpSp>
          <xdr:nvGrpSpPr>
            <xdr:cNvPr id="13" name="Group 61">
              <a:extLst>
                <a:ext uri="{FF2B5EF4-FFF2-40B4-BE49-F238E27FC236}">
                  <a16:creationId xmlns:a16="http://schemas.microsoft.com/office/drawing/2014/main" id="{33FA2819-16C0-FC30-18E6-9AB621B28E30}"/>
                </a:ext>
              </a:extLst>
            </xdr:cNvPr>
            <xdr:cNvGrpSpPr/>
          </xdr:nvGrpSpPr>
          <xdr:grpSpPr>
            <a:xfrm>
              <a:off x="607202" y="7658100"/>
              <a:ext cx="1714500" cy="1409700"/>
              <a:chOff x="597677" y="7648575"/>
              <a:chExt cx="1714500" cy="1409700"/>
            </a:xfrm>
            <a:grpFill/>
          </xdr:grpSpPr>
          <xdr:sp macro="" textlink="">
            <xdr:nvSpPr>
              <xdr:cNvPr id="15" name="Rectangle 14">
                <a:extLst>
                  <a:ext uri="{FF2B5EF4-FFF2-40B4-BE49-F238E27FC236}">
                    <a16:creationId xmlns:a16="http://schemas.microsoft.com/office/drawing/2014/main" id="{E9B0AB80-6E9F-5D03-5C1A-9D1FF318C707}"/>
                  </a:ext>
                </a:extLst>
              </xdr:cNvPr>
              <xdr:cNvSpPr/>
            </xdr:nvSpPr>
            <xdr:spPr>
              <a:xfrm>
                <a:off x="600075" y="7648575"/>
                <a:ext cx="1704975" cy="1409700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81AB2F10-5018-C1E2-368D-CDECA3DA60BE}"/>
                  </a:ext>
                </a:extLst>
              </xdr:cNvPr>
              <xdr:cNvSpPr/>
            </xdr:nvSpPr>
            <xdr:spPr>
              <a:xfrm>
                <a:off x="597677" y="7658099"/>
                <a:ext cx="1714500" cy="390525"/>
              </a:xfrm>
              <a:prstGeom prst="rect">
                <a:avLst/>
              </a:prstGeom>
              <a:grpFill/>
              <a:ln w="3810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fr-FR" sz="5400" b="1">
                    <a:solidFill>
                      <a:schemeClr val="dk1"/>
                    </a:solidFill>
                    <a:effectLst/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rPr>
                  <a:t>RAYCHEM</a:t>
                </a:r>
                <a:endParaRPr lang="fr-FR" sz="54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20" name="Oval 65">
                <a:extLst>
                  <a:ext uri="{FF2B5EF4-FFF2-40B4-BE49-F238E27FC236}">
                    <a16:creationId xmlns:a16="http://schemas.microsoft.com/office/drawing/2014/main" id="{4CF0C3C0-E953-BD83-A6AA-E57E5E8BD91E}"/>
                  </a:ext>
                </a:extLst>
              </xdr:cNvPr>
              <xdr:cNvSpPr/>
            </xdr:nvSpPr>
            <xdr:spPr>
              <a:xfrm>
                <a:off x="676275" y="8753475"/>
                <a:ext cx="238125" cy="171450"/>
              </a:xfrm>
              <a:prstGeom prst="ellipse">
                <a:avLst/>
              </a:prstGeom>
              <a:grpFill/>
              <a:ln w="38100"/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14" name="Freeform: Shape 62">
              <a:extLst>
                <a:ext uri="{FF2B5EF4-FFF2-40B4-BE49-F238E27FC236}">
                  <a16:creationId xmlns:a16="http://schemas.microsoft.com/office/drawing/2014/main" id="{B331BB15-1F72-1795-A2AC-C34A5813879C}"/>
                </a:ext>
              </a:extLst>
            </xdr:cNvPr>
            <xdr:cNvSpPr/>
          </xdr:nvSpPr>
          <xdr:spPr>
            <a:xfrm>
              <a:off x="657225" y="8886825"/>
              <a:ext cx="304800" cy="123825"/>
            </a:xfrm>
            <a:custGeom>
              <a:avLst/>
              <a:gdLst>
                <a:gd name="connsiteX0" fmla="*/ 0 w 304800"/>
                <a:gd name="connsiteY0" fmla="*/ 28575 h 123825"/>
                <a:gd name="connsiteX1" fmla="*/ 28575 w 304800"/>
                <a:gd name="connsiteY1" fmla="*/ 104775 h 123825"/>
                <a:gd name="connsiteX2" fmla="*/ 161925 w 304800"/>
                <a:gd name="connsiteY2" fmla="*/ 123825 h 123825"/>
                <a:gd name="connsiteX3" fmla="*/ 257175 w 304800"/>
                <a:gd name="connsiteY3" fmla="*/ 95250 h 123825"/>
                <a:gd name="connsiteX4" fmla="*/ 285750 w 304800"/>
                <a:gd name="connsiteY4" fmla="*/ 38100 h 123825"/>
                <a:gd name="connsiteX5" fmla="*/ 304800 w 304800"/>
                <a:gd name="connsiteY5" fmla="*/ 0 h 123825"/>
                <a:gd name="connsiteX6" fmla="*/ 295275 w 304800"/>
                <a:gd name="connsiteY6" fmla="*/ 0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04800" h="123825">
                  <a:moveTo>
                    <a:pt x="0" y="28575"/>
                  </a:moveTo>
                  <a:lnTo>
                    <a:pt x="28575" y="104775"/>
                  </a:lnTo>
                  <a:lnTo>
                    <a:pt x="161925" y="123825"/>
                  </a:lnTo>
                  <a:lnTo>
                    <a:pt x="257175" y="95250"/>
                  </a:lnTo>
                  <a:lnTo>
                    <a:pt x="285750" y="38100"/>
                  </a:lnTo>
                  <a:lnTo>
                    <a:pt x="304800" y="0"/>
                  </a:lnTo>
                  <a:lnTo>
                    <a:pt x="295275" y="0"/>
                  </a:lnTo>
                </a:path>
              </a:pathLst>
            </a:custGeom>
            <a:grpFill/>
            <a:ln w="381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twoCellAnchor>
    <xdr:from>
      <xdr:col>15</xdr:col>
      <xdr:colOff>254001</xdr:colOff>
      <xdr:row>30</xdr:row>
      <xdr:rowOff>253999</xdr:rowOff>
    </xdr:from>
    <xdr:to>
      <xdr:col>18</xdr:col>
      <xdr:colOff>1270001</xdr:colOff>
      <xdr:row>39</xdr:row>
      <xdr:rowOff>0</xdr:rowOff>
    </xdr:to>
    <xdr:grpSp>
      <xdr:nvGrpSpPr>
        <xdr:cNvPr id="564" name="Groupe 563">
          <a:extLst>
            <a:ext uri="{FF2B5EF4-FFF2-40B4-BE49-F238E27FC236}">
              <a16:creationId xmlns:a16="http://schemas.microsoft.com/office/drawing/2014/main" id="{9697DA12-840D-49A1-BDF2-2F1008B2A844}"/>
            </a:ext>
          </a:extLst>
        </xdr:cNvPr>
        <xdr:cNvGrpSpPr/>
      </xdr:nvGrpSpPr>
      <xdr:grpSpPr>
        <a:xfrm>
          <a:off x="28676601" y="12445999"/>
          <a:ext cx="4445000" cy="3403601"/>
          <a:chOff x="55467048" y="12967956"/>
          <a:chExt cx="4536471" cy="3835121"/>
        </a:xfrm>
      </xdr:grpSpPr>
      <xdr:grpSp>
        <xdr:nvGrpSpPr>
          <xdr:cNvPr id="565" name="Group 665">
            <a:extLst>
              <a:ext uri="{FF2B5EF4-FFF2-40B4-BE49-F238E27FC236}">
                <a16:creationId xmlns:a16="http://schemas.microsoft.com/office/drawing/2014/main" id="{6804B5E1-02E2-AAB2-E660-2FB28DEADD45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606" name="Arrow: Right 666">
              <a:extLst>
                <a:ext uri="{FF2B5EF4-FFF2-40B4-BE49-F238E27FC236}">
                  <a16:creationId xmlns:a16="http://schemas.microsoft.com/office/drawing/2014/main" id="{04E263D0-5AB4-8681-1269-DD0748371AF2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607" name="Group 667">
              <a:extLst>
                <a:ext uri="{FF2B5EF4-FFF2-40B4-BE49-F238E27FC236}">
                  <a16:creationId xmlns:a16="http://schemas.microsoft.com/office/drawing/2014/main" id="{27944435-74AD-A017-6322-9B1B2B5F6B5F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608" name="Rectangle 607">
                <a:extLst>
                  <a:ext uri="{FF2B5EF4-FFF2-40B4-BE49-F238E27FC236}">
                    <a16:creationId xmlns:a16="http://schemas.microsoft.com/office/drawing/2014/main" id="{278878D5-4F6D-4C22-A121-F0806D28D805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09" name="Rectangle 608">
                <a:extLst>
                  <a:ext uri="{FF2B5EF4-FFF2-40B4-BE49-F238E27FC236}">
                    <a16:creationId xmlns:a16="http://schemas.microsoft.com/office/drawing/2014/main" id="{F9C79051-E355-8785-A79E-F2470CB5D91F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10" name="Rectangle 609">
                <a:extLst>
                  <a:ext uri="{FF2B5EF4-FFF2-40B4-BE49-F238E27FC236}">
                    <a16:creationId xmlns:a16="http://schemas.microsoft.com/office/drawing/2014/main" id="{87A99E0E-B506-D5F7-6A4F-0EE6D7C647C3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11" name="Isosceles Triangle 674">
                <a:extLst>
                  <a:ext uri="{FF2B5EF4-FFF2-40B4-BE49-F238E27FC236}">
                    <a16:creationId xmlns:a16="http://schemas.microsoft.com/office/drawing/2014/main" id="{8F012BF3-DA4C-34A0-256D-24C38E24B567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566" name="Group 89">
            <a:extLst>
              <a:ext uri="{FF2B5EF4-FFF2-40B4-BE49-F238E27FC236}">
                <a16:creationId xmlns:a16="http://schemas.microsoft.com/office/drawing/2014/main" id="{45481437-35FA-1CB9-893F-E6E4F986F2AF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602" name="Rectangle 601">
              <a:extLst>
                <a:ext uri="{FF2B5EF4-FFF2-40B4-BE49-F238E27FC236}">
                  <a16:creationId xmlns:a16="http://schemas.microsoft.com/office/drawing/2014/main" id="{96720CDE-8337-3304-D2F2-2275AF5DDC14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603" name="Straight Connector 92">
              <a:extLst>
                <a:ext uri="{FF2B5EF4-FFF2-40B4-BE49-F238E27FC236}">
                  <a16:creationId xmlns:a16="http://schemas.microsoft.com/office/drawing/2014/main" id="{B4EDE190-4331-1A5F-E59A-B39F379B0D9C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04" name="Isosceles Triangle 103">
              <a:extLst>
                <a:ext uri="{FF2B5EF4-FFF2-40B4-BE49-F238E27FC236}">
                  <a16:creationId xmlns:a16="http://schemas.microsoft.com/office/drawing/2014/main" id="{D0508395-C82B-2B22-78E1-B01E95059C05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05" name="Rectangle 604">
              <a:extLst>
                <a:ext uri="{FF2B5EF4-FFF2-40B4-BE49-F238E27FC236}">
                  <a16:creationId xmlns:a16="http://schemas.microsoft.com/office/drawing/2014/main" id="{7DF8FC80-FAD1-2C1C-088D-ED2B1EC80ADD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568" name="Group 224">
            <a:extLst>
              <a:ext uri="{FF2B5EF4-FFF2-40B4-BE49-F238E27FC236}">
                <a16:creationId xmlns:a16="http://schemas.microsoft.com/office/drawing/2014/main" id="{CB253A21-0BCE-B743-4E61-9B69C54032BB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572" name="Rectangle 571">
              <a:extLst>
                <a:ext uri="{FF2B5EF4-FFF2-40B4-BE49-F238E27FC236}">
                  <a16:creationId xmlns:a16="http://schemas.microsoft.com/office/drawing/2014/main" id="{99BB578F-A660-3A4D-D2BB-3133DC0ED21C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580" name="Group 212">
              <a:extLst>
                <a:ext uri="{FF2B5EF4-FFF2-40B4-BE49-F238E27FC236}">
                  <a16:creationId xmlns:a16="http://schemas.microsoft.com/office/drawing/2014/main" id="{C89ED7BC-95A9-7AB1-7766-CCFA7CE690FB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581" name="Line 11">
                <a:extLst>
                  <a:ext uri="{FF2B5EF4-FFF2-40B4-BE49-F238E27FC236}">
                    <a16:creationId xmlns:a16="http://schemas.microsoft.com/office/drawing/2014/main" id="{79562460-3AA2-1513-38E3-6D65E1A8E8BF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588" name="Line 12">
                <a:extLst>
                  <a:ext uri="{FF2B5EF4-FFF2-40B4-BE49-F238E27FC236}">
                    <a16:creationId xmlns:a16="http://schemas.microsoft.com/office/drawing/2014/main" id="{CBF8A78A-7752-A731-AC4E-6198304A922D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589" name="Line 13">
                <a:extLst>
                  <a:ext uri="{FF2B5EF4-FFF2-40B4-BE49-F238E27FC236}">
                    <a16:creationId xmlns:a16="http://schemas.microsoft.com/office/drawing/2014/main" id="{1A40049D-2916-420C-97BD-0BD7F67A0F28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600" name="Line 14">
                <a:extLst>
                  <a:ext uri="{FF2B5EF4-FFF2-40B4-BE49-F238E27FC236}">
                    <a16:creationId xmlns:a16="http://schemas.microsoft.com/office/drawing/2014/main" id="{97923C07-610B-5C73-3F24-D339B295CA4B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601" name="Line 15">
                <a:extLst>
                  <a:ext uri="{FF2B5EF4-FFF2-40B4-BE49-F238E27FC236}">
                    <a16:creationId xmlns:a16="http://schemas.microsoft.com/office/drawing/2014/main" id="{34AB2500-0EED-2CEF-9F62-660BA69FF3A9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569" name="Group 206">
            <a:extLst>
              <a:ext uri="{FF2B5EF4-FFF2-40B4-BE49-F238E27FC236}">
                <a16:creationId xmlns:a16="http://schemas.microsoft.com/office/drawing/2014/main" id="{BA871CB2-C7A6-638E-40D6-25FAAE05CB65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570" name="Rectangle 569">
              <a:extLst>
                <a:ext uri="{FF2B5EF4-FFF2-40B4-BE49-F238E27FC236}">
                  <a16:creationId xmlns:a16="http://schemas.microsoft.com/office/drawing/2014/main" id="{F1F31B18-1436-CC6D-AB5D-D45818D456F3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71" name="Arc 26">
              <a:extLst>
                <a:ext uri="{FF2B5EF4-FFF2-40B4-BE49-F238E27FC236}">
                  <a16:creationId xmlns:a16="http://schemas.microsoft.com/office/drawing/2014/main" id="{8CDB47DF-BD2C-7325-4811-23D65C955478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20</xdr:col>
      <xdr:colOff>12382500</xdr:colOff>
      <xdr:row>29</xdr:row>
      <xdr:rowOff>279399</xdr:rowOff>
    </xdr:from>
    <xdr:to>
      <xdr:col>22</xdr:col>
      <xdr:colOff>1549401</xdr:colOff>
      <xdr:row>36</xdr:row>
      <xdr:rowOff>406400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C63C2B7B-3AE7-44F7-A89E-8ED821471E01}"/>
            </a:ext>
          </a:extLst>
        </xdr:cNvPr>
        <xdr:cNvGrpSpPr/>
      </xdr:nvGrpSpPr>
      <xdr:grpSpPr>
        <a:xfrm>
          <a:off x="52768500" y="12014199"/>
          <a:ext cx="5168901" cy="3327401"/>
          <a:chOff x="55467048" y="12967956"/>
          <a:chExt cx="4536471" cy="3835121"/>
        </a:xfrm>
      </xdr:grpSpPr>
      <xdr:grpSp>
        <xdr:nvGrpSpPr>
          <xdr:cNvPr id="613" name="Group 665">
            <a:extLst>
              <a:ext uri="{FF2B5EF4-FFF2-40B4-BE49-F238E27FC236}">
                <a16:creationId xmlns:a16="http://schemas.microsoft.com/office/drawing/2014/main" id="{3C16328D-45C4-B334-7279-1D0ABBB77856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630" name="Arrow: Right 666">
              <a:extLst>
                <a:ext uri="{FF2B5EF4-FFF2-40B4-BE49-F238E27FC236}">
                  <a16:creationId xmlns:a16="http://schemas.microsoft.com/office/drawing/2014/main" id="{ABCBAC9C-772B-5E6B-F53D-152F0C7D592D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631" name="Group 667">
              <a:extLst>
                <a:ext uri="{FF2B5EF4-FFF2-40B4-BE49-F238E27FC236}">
                  <a16:creationId xmlns:a16="http://schemas.microsoft.com/office/drawing/2014/main" id="{61CB0595-9A20-CEAF-0D1E-239A3F573D5D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632" name="Rectangle 631">
                <a:extLst>
                  <a:ext uri="{FF2B5EF4-FFF2-40B4-BE49-F238E27FC236}">
                    <a16:creationId xmlns:a16="http://schemas.microsoft.com/office/drawing/2014/main" id="{CD0DFA1A-8F74-E1B0-3F0C-4F992ADE12DD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33" name="Rectangle 632">
                <a:extLst>
                  <a:ext uri="{FF2B5EF4-FFF2-40B4-BE49-F238E27FC236}">
                    <a16:creationId xmlns:a16="http://schemas.microsoft.com/office/drawing/2014/main" id="{5B68CD95-1FF0-F101-A7F4-1704FB655E0A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34" name="Rectangle 633">
                <a:extLst>
                  <a:ext uri="{FF2B5EF4-FFF2-40B4-BE49-F238E27FC236}">
                    <a16:creationId xmlns:a16="http://schemas.microsoft.com/office/drawing/2014/main" id="{5FA08840-35FE-A5B2-673F-40758487E132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35" name="Isosceles Triangle 674">
                <a:extLst>
                  <a:ext uri="{FF2B5EF4-FFF2-40B4-BE49-F238E27FC236}">
                    <a16:creationId xmlns:a16="http://schemas.microsoft.com/office/drawing/2014/main" id="{CF806EB7-002C-1C48-FA55-2E5C495ECA78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614" name="Group 89">
            <a:extLst>
              <a:ext uri="{FF2B5EF4-FFF2-40B4-BE49-F238E27FC236}">
                <a16:creationId xmlns:a16="http://schemas.microsoft.com/office/drawing/2014/main" id="{70741E17-9AEA-279C-67DB-DFD4043E8253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626" name="Rectangle 625">
              <a:extLst>
                <a:ext uri="{FF2B5EF4-FFF2-40B4-BE49-F238E27FC236}">
                  <a16:creationId xmlns:a16="http://schemas.microsoft.com/office/drawing/2014/main" id="{C0CE53F5-9654-BB55-10AB-95161CCAEBB2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627" name="Straight Connector 92">
              <a:extLst>
                <a:ext uri="{FF2B5EF4-FFF2-40B4-BE49-F238E27FC236}">
                  <a16:creationId xmlns:a16="http://schemas.microsoft.com/office/drawing/2014/main" id="{F6702AB3-AAFE-6435-06EA-7FFEE0A9D5D9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28" name="Isosceles Triangle 103">
              <a:extLst>
                <a:ext uri="{FF2B5EF4-FFF2-40B4-BE49-F238E27FC236}">
                  <a16:creationId xmlns:a16="http://schemas.microsoft.com/office/drawing/2014/main" id="{324190A2-4597-1304-CCCF-FF8986774C64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29" name="Rectangle 628">
              <a:extLst>
                <a:ext uri="{FF2B5EF4-FFF2-40B4-BE49-F238E27FC236}">
                  <a16:creationId xmlns:a16="http://schemas.microsoft.com/office/drawing/2014/main" id="{4BFB66DC-F871-EF4C-F6C6-C51A4F33ECB8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615" name="Group 224">
            <a:extLst>
              <a:ext uri="{FF2B5EF4-FFF2-40B4-BE49-F238E27FC236}">
                <a16:creationId xmlns:a16="http://schemas.microsoft.com/office/drawing/2014/main" id="{C4319332-26F4-0D07-3773-A7C9CA9680CE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619" name="Rectangle 618">
              <a:extLst>
                <a:ext uri="{FF2B5EF4-FFF2-40B4-BE49-F238E27FC236}">
                  <a16:creationId xmlns:a16="http://schemas.microsoft.com/office/drawing/2014/main" id="{8ED9CEC9-F34C-8E63-663E-3656308BC131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620" name="Group 212">
              <a:extLst>
                <a:ext uri="{FF2B5EF4-FFF2-40B4-BE49-F238E27FC236}">
                  <a16:creationId xmlns:a16="http://schemas.microsoft.com/office/drawing/2014/main" id="{1C954E63-F2B6-7F8B-1101-A6BABA585B0C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621" name="Line 11">
                <a:extLst>
                  <a:ext uri="{FF2B5EF4-FFF2-40B4-BE49-F238E27FC236}">
                    <a16:creationId xmlns:a16="http://schemas.microsoft.com/office/drawing/2014/main" id="{AE490C60-DB07-663F-8156-4B17F658CE1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622" name="Line 12">
                <a:extLst>
                  <a:ext uri="{FF2B5EF4-FFF2-40B4-BE49-F238E27FC236}">
                    <a16:creationId xmlns:a16="http://schemas.microsoft.com/office/drawing/2014/main" id="{DAB05C54-3696-513D-7A62-A2C6BB639482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623" name="Line 13">
                <a:extLst>
                  <a:ext uri="{FF2B5EF4-FFF2-40B4-BE49-F238E27FC236}">
                    <a16:creationId xmlns:a16="http://schemas.microsoft.com/office/drawing/2014/main" id="{D729C3AB-5337-1645-EDB8-0B536CC21B09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624" name="Line 14">
                <a:extLst>
                  <a:ext uri="{FF2B5EF4-FFF2-40B4-BE49-F238E27FC236}">
                    <a16:creationId xmlns:a16="http://schemas.microsoft.com/office/drawing/2014/main" id="{39FB35EF-D296-E67D-4689-7078A7F44012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625" name="Line 15">
                <a:extLst>
                  <a:ext uri="{FF2B5EF4-FFF2-40B4-BE49-F238E27FC236}">
                    <a16:creationId xmlns:a16="http://schemas.microsoft.com/office/drawing/2014/main" id="{B8C7DB43-B7C8-31C4-F1DE-8C717F395A4E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616" name="Group 206">
            <a:extLst>
              <a:ext uri="{FF2B5EF4-FFF2-40B4-BE49-F238E27FC236}">
                <a16:creationId xmlns:a16="http://schemas.microsoft.com/office/drawing/2014/main" id="{CAA208A8-9CCB-E470-4BCC-1352FDE58F00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F7B1CA69-0A38-406B-FF64-103D5785B2DA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18" name="Arc 26">
              <a:extLst>
                <a:ext uri="{FF2B5EF4-FFF2-40B4-BE49-F238E27FC236}">
                  <a16:creationId xmlns:a16="http://schemas.microsoft.com/office/drawing/2014/main" id="{FCC0AEDD-E28B-01EF-9578-66B73D95C627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25</xdr:col>
      <xdr:colOff>0</xdr:colOff>
      <xdr:row>30</xdr:row>
      <xdr:rowOff>0</xdr:rowOff>
    </xdr:from>
    <xdr:to>
      <xdr:col>26</xdr:col>
      <xdr:colOff>1714500</xdr:colOff>
      <xdr:row>37</xdr:row>
      <xdr:rowOff>127001</xdr:rowOff>
    </xdr:to>
    <xdr:grpSp>
      <xdr:nvGrpSpPr>
        <xdr:cNvPr id="636" name="Groupe 635">
          <a:extLst>
            <a:ext uri="{FF2B5EF4-FFF2-40B4-BE49-F238E27FC236}">
              <a16:creationId xmlns:a16="http://schemas.microsoft.com/office/drawing/2014/main" id="{8446C99F-A311-4BC0-B949-F06CC7FF6EC8}"/>
            </a:ext>
          </a:extLst>
        </xdr:cNvPr>
        <xdr:cNvGrpSpPr/>
      </xdr:nvGrpSpPr>
      <xdr:grpSpPr>
        <a:xfrm>
          <a:off x="74980800" y="12192000"/>
          <a:ext cx="4991100" cy="3327401"/>
          <a:chOff x="55467048" y="12967956"/>
          <a:chExt cx="4536471" cy="3835121"/>
        </a:xfrm>
      </xdr:grpSpPr>
      <xdr:grpSp>
        <xdr:nvGrpSpPr>
          <xdr:cNvPr id="637" name="Group 665">
            <a:extLst>
              <a:ext uri="{FF2B5EF4-FFF2-40B4-BE49-F238E27FC236}">
                <a16:creationId xmlns:a16="http://schemas.microsoft.com/office/drawing/2014/main" id="{B125F850-0355-7CC9-F812-430FFECE6AC9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654" name="Arrow: Right 666">
              <a:extLst>
                <a:ext uri="{FF2B5EF4-FFF2-40B4-BE49-F238E27FC236}">
                  <a16:creationId xmlns:a16="http://schemas.microsoft.com/office/drawing/2014/main" id="{EA4FB9F3-856E-713E-C199-C9B40DE93A28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655" name="Group 667">
              <a:extLst>
                <a:ext uri="{FF2B5EF4-FFF2-40B4-BE49-F238E27FC236}">
                  <a16:creationId xmlns:a16="http://schemas.microsoft.com/office/drawing/2014/main" id="{214DCBD0-A83E-D45A-6199-DBEF7C2B8A9C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656" name="Rectangle 655">
                <a:extLst>
                  <a:ext uri="{FF2B5EF4-FFF2-40B4-BE49-F238E27FC236}">
                    <a16:creationId xmlns:a16="http://schemas.microsoft.com/office/drawing/2014/main" id="{8C50D57B-128A-51B6-F524-AAD4A6651C3C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81" name="Rectangle 680">
                <a:extLst>
                  <a:ext uri="{FF2B5EF4-FFF2-40B4-BE49-F238E27FC236}">
                    <a16:creationId xmlns:a16="http://schemas.microsoft.com/office/drawing/2014/main" id="{71EDB62C-78DE-93C8-97EB-641AFE9BA35A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83" name="Rectangle 682">
                <a:extLst>
                  <a:ext uri="{FF2B5EF4-FFF2-40B4-BE49-F238E27FC236}">
                    <a16:creationId xmlns:a16="http://schemas.microsoft.com/office/drawing/2014/main" id="{9E769465-4ADB-9658-94E0-5E0902FBD28F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84" name="Isosceles Triangle 674">
                <a:extLst>
                  <a:ext uri="{FF2B5EF4-FFF2-40B4-BE49-F238E27FC236}">
                    <a16:creationId xmlns:a16="http://schemas.microsoft.com/office/drawing/2014/main" id="{9C688285-6938-B8CE-131C-E8AC2C3F4399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638" name="Group 89">
            <a:extLst>
              <a:ext uri="{FF2B5EF4-FFF2-40B4-BE49-F238E27FC236}">
                <a16:creationId xmlns:a16="http://schemas.microsoft.com/office/drawing/2014/main" id="{66881F45-1869-3F3B-5C92-B998A7C5FDB4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650" name="Rectangle 649">
              <a:extLst>
                <a:ext uri="{FF2B5EF4-FFF2-40B4-BE49-F238E27FC236}">
                  <a16:creationId xmlns:a16="http://schemas.microsoft.com/office/drawing/2014/main" id="{EE698C9F-284E-D9F4-4FDA-86FE64DBE701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651" name="Straight Connector 92">
              <a:extLst>
                <a:ext uri="{FF2B5EF4-FFF2-40B4-BE49-F238E27FC236}">
                  <a16:creationId xmlns:a16="http://schemas.microsoft.com/office/drawing/2014/main" id="{E60FE897-901C-E902-1E4A-196A0ABB7CAD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52" name="Isosceles Triangle 103">
              <a:extLst>
                <a:ext uri="{FF2B5EF4-FFF2-40B4-BE49-F238E27FC236}">
                  <a16:creationId xmlns:a16="http://schemas.microsoft.com/office/drawing/2014/main" id="{B8F8596B-3343-D69C-843C-61E009DA1AD2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53" name="Rectangle 652">
              <a:extLst>
                <a:ext uri="{FF2B5EF4-FFF2-40B4-BE49-F238E27FC236}">
                  <a16:creationId xmlns:a16="http://schemas.microsoft.com/office/drawing/2014/main" id="{DFD88B11-4C04-E239-8056-C999FEDFD599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639" name="Group 224">
            <a:extLst>
              <a:ext uri="{FF2B5EF4-FFF2-40B4-BE49-F238E27FC236}">
                <a16:creationId xmlns:a16="http://schemas.microsoft.com/office/drawing/2014/main" id="{E48CF36C-B4BD-A1E2-B526-C62680F3BF84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643" name="Rectangle 642">
              <a:extLst>
                <a:ext uri="{FF2B5EF4-FFF2-40B4-BE49-F238E27FC236}">
                  <a16:creationId xmlns:a16="http://schemas.microsoft.com/office/drawing/2014/main" id="{0066D88E-51A5-6B10-651A-BEECC032AEDC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644" name="Group 212">
              <a:extLst>
                <a:ext uri="{FF2B5EF4-FFF2-40B4-BE49-F238E27FC236}">
                  <a16:creationId xmlns:a16="http://schemas.microsoft.com/office/drawing/2014/main" id="{00FEA6A8-AF65-37B1-9D52-32FA215887C3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645" name="Line 11">
                <a:extLst>
                  <a:ext uri="{FF2B5EF4-FFF2-40B4-BE49-F238E27FC236}">
                    <a16:creationId xmlns:a16="http://schemas.microsoft.com/office/drawing/2014/main" id="{0C439EC9-E6DB-055E-CAAA-AEF7D4BC1915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646" name="Line 12">
                <a:extLst>
                  <a:ext uri="{FF2B5EF4-FFF2-40B4-BE49-F238E27FC236}">
                    <a16:creationId xmlns:a16="http://schemas.microsoft.com/office/drawing/2014/main" id="{03BFFDCA-7942-AA4C-DF81-8D853B5B6A7E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647" name="Line 13">
                <a:extLst>
                  <a:ext uri="{FF2B5EF4-FFF2-40B4-BE49-F238E27FC236}">
                    <a16:creationId xmlns:a16="http://schemas.microsoft.com/office/drawing/2014/main" id="{8F71F384-2D08-5BD9-8425-40A0940121C2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648" name="Line 14">
                <a:extLst>
                  <a:ext uri="{FF2B5EF4-FFF2-40B4-BE49-F238E27FC236}">
                    <a16:creationId xmlns:a16="http://schemas.microsoft.com/office/drawing/2014/main" id="{81CEB72B-6061-DF74-EE61-D6EE1391F134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649" name="Line 15">
                <a:extLst>
                  <a:ext uri="{FF2B5EF4-FFF2-40B4-BE49-F238E27FC236}">
                    <a16:creationId xmlns:a16="http://schemas.microsoft.com/office/drawing/2014/main" id="{9D02579F-B0D5-8F51-C7C4-80973DC6C4AF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640" name="Group 206">
            <a:extLst>
              <a:ext uri="{FF2B5EF4-FFF2-40B4-BE49-F238E27FC236}">
                <a16:creationId xmlns:a16="http://schemas.microsoft.com/office/drawing/2014/main" id="{276304F6-C126-FBD9-CC1D-4F1DC50862ED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641" name="Rectangle 640">
              <a:extLst>
                <a:ext uri="{FF2B5EF4-FFF2-40B4-BE49-F238E27FC236}">
                  <a16:creationId xmlns:a16="http://schemas.microsoft.com/office/drawing/2014/main" id="{847368A2-C8A3-72BF-B82C-C288B9030F29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642" name="Arc 26">
              <a:extLst>
                <a:ext uri="{FF2B5EF4-FFF2-40B4-BE49-F238E27FC236}">
                  <a16:creationId xmlns:a16="http://schemas.microsoft.com/office/drawing/2014/main" id="{B739D2BD-7EF4-C320-131D-F72F0D0BEAEC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29</xdr:col>
      <xdr:colOff>190500</xdr:colOff>
      <xdr:row>30</xdr:row>
      <xdr:rowOff>0</xdr:rowOff>
    </xdr:from>
    <xdr:to>
      <xdr:col>31</xdr:col>
      <xdr:colOff>381000</xdr:colOff>
      <xdr:row>37</xdr:row>
      <xdr:rowOff>127001</xdr:rowOff>
    </xdr:to>
    <xdr:grpSp>
      <xdr:nvGrpSpPr>
        <xdr:cNvPr id="685" name="Groupe 684">
          <a:extLst>
            <a:ext uri="{FF2B5EF4-FFF2-40B4-BE49-F238E27FC236}">
              <a16:creationId xmlns:a16="http://schemas.microsoft.com/office/drawing/2014/main" id="{54D94383-476A-4C75-A831-425242BFCEB3}"/>
            </a:ext>
          </a:extLst>
        </xdr:cNvPr>
        <xdr:cNvGrpSpPr/>
      </xdr:nvGrpSpPr>
      <xdr:grpSpPr>
        <a:xfrm>
          <a:off x="96507300" y="12192000"/>
          <a:ext cx="5067300" cy="3327401"/>
          <a:chOff x="55467048" y="12967956"/>
          <a:chExt cx="4536471" cy="3835121"/>
        </a:xfrm>
      </xdr:grpSpPr>
      <xdr:grpSp>
        <xdr:nvGrpSpPr>
          <xdr:cNvPr id="686" name="Group 665">
            <a:extLst>
              <a:ext uri="{FF2B5EF4-FFF2-40B4-BE49-F238E27FC236}">
                <a16:creationId xmlns:a16="http://schemas.microsoft.com/office/drawing/2014/main" id="{93376656-43C1-DC53-13DD-520C32CF9014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773" name="Arrow: Right 666">
              <a:extLst>
                <a:ext uri="{FF2B5EF4-FFF2-40B4-BE49-F238E27FC236}">
                  <a16:creationId xmlns:a16="http://schemas.microsoft.com/office/drawing/2014/main" id="{D8907314-8F70-8D2B-0439-1B4EF2F5407E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774" name="Group 667">
              <a:extLst>
                <a:ext uri="{FF2B5EF4-FFF2-40B4-BE49-F238E27FC236}">
                  <a16:creationId xmlns:a16="http://schemas.microsoft.com/office/drawing/2014/main" id="{40AD289F-0CDE-BCE7-972A-9F25DCC3C9CB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776" name="Rectangle 775">
                <a:extLst>
                  <a:ext uri="{FF2B5EF4-FFF2-40B4-BE49-F238E27FC236}">
                    <a16:creationId xmlns:a16="http://schemas.microsoft.com/office/drawing/2014/main" id="{548A26EE-63A3-7B11-0BBE-EF3E24FA68A0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77" name="Rectangle 776">
                <a:extLst>
                  <a:ext uri="{FF2B5EF4-FFF2-40B4-BE49-F238E27FC236}">
                    <a16:creationId xmlns:a16="http://schemas.microsoft.com/office/drawing/2014/main" id="{BE444B7F-5F6C-6362-E904-C37C0B909032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78" name="Rectangle 777">
                <a:extLst>
                  <a:ext uri="{FF2B5EF4-FFF2-40B4-BE49-F238E27FC236}">
                    <a16:creationId xmlns:a16="http://schemas.microsoft.com/office/drawing/2014/main" id="{7DF20AA0-8538-0C20-48CD-16E594FEADCC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779" name="Isosceles Triangle 674">
                <a:extLst>
                  <a:ext uri="{FF2B5EF4-FFF2-40B4-BE49-F238E27FC236}">
                    <a16:creationId xmlns:a16="http://schemas.microsoft.com/office/drawing/2014/main" id="{3EFDFF0D-992B-9D8B-F94D-46D311F01CFE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687" name="Group 89">
            <a:extLst>
              <a:ext uri="{FF2B5EF4-FFF2-40B4-BE49-F238E27FC236}">
                <a16:creationId xmlns:a16="http://schemas.microsoft.com/office/drawing/2014/main" id="{7449D7B5-2507-C4FE-6EF5-FCDCC1477C84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769" name="Rectangle 768">
              <a:extLst>
                <a:ext uri="{FF2B5EF4-FFF2-40B4-BE49-F238E27FC236}">
                  <a16:creationId xmlns:a16="http://schemas.microsoft.com/office/drawing/2014/main" id="{8390E4F4-9F54-C7E4-7160-32A8145BF6DA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770" name="Straight Connector 92">
              <a:extLst>
                <a:ext uri="{FF2B5EF4-FFF2-40B4-BE49-F238E27FC236}">
                  <a16:creationId xmlns:a16="http://schemas.microsoft.com/office/drawing/2014/main" id="{20AEBF6D-958B-3E30-C83E-25764CA2F9F1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71" name="Isosceles Triangle 103">
              <a:extLst>
                <a:ext uri="{FF2B5EF4-FFF2-40B4-BE49-F238E27FC236}">
                  <a16:creationId xmlns:a16="http://schemas.microsoft.com/office/drawing/2014/main" id="{681F0937-41BC-A7DA-BDB5-F06D7C5F8CC8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772" name="Rectangle 771">
              <a:extLst>
                <a:ext uri="{FF2B5EF4-FFF2-40B4-BE49-F238E27FC236}">
                  <a16:creationId xmlns:a16="http://schemas.microsoft.com/office/drawing/2014/main" id="{E591D041-76EC-AE2E-F141-E1F3F6BD01EC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704" name="Group 224">
            <a:extLst>
              <a:ext uri="{FF2B5EF4-FFF2-40B4-BE49-F238E27FC236}">
                <a16:creationId xmlns:a16="http://schemas.microsoft.com/office/drawing/2014/main" id="{7A4DB82D-2C8C-EBC3-8086-3B52B112B0BA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746" name="Rectangle 745">
              <a:extLst>
                <a:ext uri="{FF2B5EF4-FFF2-40B4-BE49-F238E27FC236}">
                  <a16:creationId xmlns:a16="http://schemas.microsoft.com/office/drawing/2014/main" id="{4CB1C891-4465-8433-0206-11A43A84508E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747" name="Group 212">
              <a:extLst>
                <a:ext uri="{FF2B5EF4-FFF2-40B4-BE49-F238E27FC236}">
                  <a16:creationId xmlns:a16="http://schemas.microsoft.com/office/drawing/2014/main" id="{F56C503C-749E-7F5C-282E-A800A00227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748" name="Line 11">
                <a:extLst>
                  <a:ext uri="{FF2B5EF4-FFF2-40B4-BE49-F238E27FC236}">
                    <a16:creationId xmlns:a16="http://schemas.microsoft.com/office/drawing/2014/main" id="{55355462-422B-CF67-3DB2-590E0E461108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749" name="Line 12">
                <a:extLst>
                  <a:ext uri="{FF2B5EF4-FFF2-40B4-BE49-F238E27FC236}">
                    <a16:creationId xmlns:a16="http://schemas.microsoft.com/office/drawing/2014/main" id="{9F082A34-9661-9F57-AF3A-EFD3060C6DCE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750" name="Line 13">
                <a:extLst>
                  <a:ext uri="{FF2B5EF4-FFF2-40B4-BE49-F238E27FC236}">
                    <a16:creationId xmlns:a16="http://schemas.microsoft.com/office/drawing/2014/main" id="{42E954FE-0293-8CCF-8F6C-1CB2F3A8CC36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757" name="Line 14">
                <a:extLst>
                  <a:ext uri="{FF2B5EF4-FFF2-40B4-BE49-F238E27FC236}">
                    <a16:creationId xmlns:a16="http://schemas.microsoft.com/office/drawing/2014/main" id="{A66A55EE-96D0-1E9E-43A8-6F6CE19A188D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763" name="Line 15">
                <a:extLst>
                  <a:ext uri="{FF2B5EF4-FFF2-40B4-BE49-F238E27FC236}">
                    <a16:creationId xmlns:a16="http://schemas.microsoft.com/office/drawing/2014/main" id="{853074ED-0890-33D8-D9FD-4BA2C10684C2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705" name="Group 206">
            <a:extLst>
              <a:ext uri="{FF2B5EF4-FFF2-40B4-BE49-F238E27FC236}">
                <a16:creationId xmlns:a16="http://schemas.microsoft.com/office/drawing/2014/main" id="{2A60519E-FBBD-EDE9-9D59-F3211FD68668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706" name="Rectangle 705">
              <a:extLst>
                <a:ext uri="{FF2B5EF4-FFF2-40B4-BE49-F238E27FC236}">
                  <a16:creationId xmlns:a16="http://schemas.microsoft.com/office/drawing/2014/main" id="{126CF84A-10C5-096E-CA0D-CA58BFED0798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707" name="Arc 26">
              <a:extLst>
                <a:ext uri="{FF2B5EF4-FFF2-40B4-BE49-F238E27FC236}">
                  <a16:creationId xmlns:a16="http://schemas.microsoft.com/office/drawing/2014/main" id="{50568690-89CE-B77C-0984-CA2DFB7C5126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33</xdr:col>
      <xdr:colOff>63500</xdr:colOff>
      <xdr:row>29</xdr:row>
      <xdr:rowOff>127000</xdr:rowOff>
    </xdr:from>
    <xdr:to>
      <xdr:col>34</xdr:col>
      <xdr:colOff>2349500</xdr:colOff>
      <xdr:row>36</xdr:row>
      <xdr:rowOff>254001</xdr:rowOff>
    </xdr:to>
    <xdr:grpSp>
      <xdr:nvGrpSpPr>
        <xdr:cNvPr id="780" name="Groupe 779">
          <a:extLst>
            <a:ext uri="{FF2B5EF4-FFF2-40B4-BE49-F238E27FC236}">
              <a16:creationId xmlns:a16="http://schemas.microsoft.com/office/drawing/2014/main" id="{A21A3C2D-F4E2-4197-B428-5CFDFDD1D7EC}"/>
            </a:ext>
          </a:extLst>
        </xdr:cNvPr>
        <xdr:cNvGrpSpPr/>
      </xdr:nvGrpSpPr>
      <xdr:grpSpPr>
        <a:xfrm>
          <a:off x="116954300" y="11861800"/>
          <a:ext cx="4800600" cy="3327401"/>
          <a:chOff x="55467048" y="12967956"/>
          <a:chExt cx="4536471" cy="3835121"/>
        </a:xfrm>
      </xdr:grpSpPr>
      <xdr:grpSp>
        <xdr:nvGrpSpPr>
          <xdr:cNvPr id="781" name="Group 665">
            <a:extLst>
              <a:ext uri="{FF2B5EF4-FFF2-40B4-BE49-F238E27FC236}">
                <a16:creationId xmlns:a16="http://schemas.microsoft.com/office/drawing/2014/main" id="{A86E06EF-5118-2167-C266-AB25664EF025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860" name="Arrow: Right 666">
              <a:extLst>
                <a:ext uri="{FF2B5EF4-FFF2-40B4-BE49-F238E27FC236}">
                  <a16:creationId xmlns:a16="http://schemas.microsoft.com/office/drawing/2014/main" id="{553D05CE-781F-2C48-8B99-B4CBBEA7F52C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861" name="Group 667">
              <a:extLst>
                <a:ext uri="{FF2B5EF4-FFF2-40B4-BE49-F238E27FC236}">
                  <a16:creationId xmlns:a16="http://schemas.microsoft.com/office/drawing/2014/main" id="{412E71F3-C08F-9ED8-0844-6AA641E0BCCC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862" name="Rectangle 861">
                <a:extLst>
                  <a:ext uri="{FF2B5EF4-FFF2-40B4-BE49-F238E27FC236}">
                    <a16:creationId xmlns:a16="http://schemas.microsoft.com/office/drawing/2014/main" id="{8A78BEED-04CA-297C-0638-5178E6D98AC9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863" name="Rectangle 862">
                <a:extLst>
                  <a:ext uri="{FF2B5EF4-FFF2-40B4-BE49-F238E27FC236}">
                    <a16:creationId xmlns:a16="http://schemas.microsoft.com/office/drawing/2014/main" id="{FA2BC882-7CA6-3AC7-9091-B0F55E058393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864" name="Rectangle 863">
                <a:extLst>
                  <a:ext uri="{FF2B5EF4-FFF2-40B4-BE49-F238E27FC236}">
                    <a16:creationId xmlns:a16="http://schemas.microsoft.com/office/drawing/2014/main" id="{68AA5011-C880-6C1A-4058-F21DFB937975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865" name="Isosceles Triangle 674">
                <a:extLst>
                  <a:ext uri="{FF2B5EF4-FFF2-40B4-BE49-F238E27FC236}">
                    <a16:creationId xmlns:a16="http://schemas.microsoft.com/office/drawing/2014/main" id="{8CED16B1-6698-A9F2-B111-DC8F86419D99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839" name="Group 89">
            <a:extLst>
              <a:ext uri="{FF2B5EF4-FFF2-40B4-BE49-F238E27FC236}">
                <a16:creationId xmlns:a16="http://schemas.microsoft.com/office/drawing/2014/main" id="{E1E9C27C-C6D9-6BA8-091E-E0AD8FAD2BE4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851" name="Rectangle 850">
              <a:extLst>
                <a:ext uri="{FF2B5EF4-FFF2-40B4-BE49-F238E27FC236}">
                  <a16:creationId xmlns:a16="http://schemas.microsoft.com/office/drawing/2014/main" id="{4BF75F09-4003-085A-2CBF-B64C69F982A2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857" name="Straight Connector 92">
              <a:extLst>
                <a:ext uri="{FF2B5EF4-FFF2-40B4-BE49-F238E27FC236}">
                  <a16:creationId xmlns:a16="http://schemas.microsoft.com/office/drawing/2014/main" id="{EB016197-FD60-3A7F-6385-8222A2F054B9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58" name="Isosceles Triangle 103">
              <a:extLst>
                <a:ext uri="{FF2B5EF4-FFF2-40B4-BE49-F238E27FC236}">
                  <a16:creationId xmlns:a16="http://schemas.microsoft.com/office/drawing/2014/main" id="{553F81CB-B55F-6146-2CA5-BC9ABC5C9FA7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859" name="Rectangle 858">
              <a:extLst>
                <a:ext uri="{FF2B5EF4-FFF2-40B4-BE49-F238E27FC236}">
                  <a16:creationId xmlns:a16="http://schemas.microsoft.com/office/drawing/2014/main" id="{4A117337-0F16-DECC-383B-D90C6EEE92D6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840" name="Group 224">
            <a:extLst>
              <a:ext uri="{FF2B5EF4-FFF2-40B4-BE49-F238E27FC236}">
                <a16:creationId xmlns:a16="http://schemas.microsoft.com/office/drawing/2014/main" id="{9560C734-21E2-EF1E-35CD-5C60CE2439F5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844" name="Rectangle 843">
              <a:extLst>
                <a:ext uri="{FF2B5EF4-FFF2-40B4-BE49-F238E27FC236}">
                  <a16:creationId xmlns:a16="http://schemas.microsoft.com/office/drawing/2014/main" id="{8631F577-1540-C199-4B8F-F52158D17250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845" name="Group 212">
              <a:extLst>
                <a:ext uri="{FF2B5EF4-FFF2-40B4-BE49-F238E27FC236}">
                  <a16:creationId xmlns:a16="http://schemas.microsoft.com/office/drawing/2014/main" id="{BE8768D7-406F-CD2F-96AC-7FBBAFFD9B3C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846" name="Line 11">
                <a:extLst>
                  <a:ext uri="{FF2B5EF4-FFF2-40B4-BE49-F238E27FC236}">
                    <a16:creationId xmlns:a16="http://schemas.microsoft.com/office/drawing/2014/main" id="{8F969725-C7EC-D7BE-B824-B11DCA33C7FC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847" name="Line 12">
                <a:extLst>
                  <a:ext uri="{FF2B5EF4-FFF2-40B4-BE49-F238E27FC236}">
                    <a16:creationId xmlns:a16="http://schemas.microsoft.com/office/drawing/2014/main" id="{173A49C9-3C3E-C52A-FDA9-06521DC9211A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848" name="Line 13">
                <a:extLst>
                  <a:ext uri="{FF2B5EF4-FFF2-40B4-BE49-F238E27FC236}">
                    <a16:creationId xmlns:a16="http://schemas.microsoft.com/office/drawing/2014/main" id="{5A94D8BA-163F-1F41-7BA9-356CDFFAE1E8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849" name="Line 14">
                <a:extLst>
                  <a:ext uri="{FF2B5EF4-FFF2-40B4-BE49-F238E27FC236}">
                    <a16:creationId xmlns:a16="http://schemas.microsoft.com/office/drawing/2014/main" id="{C92EAFF1-9502-7EE1-6AAF-9138E2754567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850" name="Line 15">
                <a:extLst>
                  <a:ext uri="{FF2B5EF4-FFF2-40B4-BE49-F238E27FC236}">
                    <a16:creationId xmlns:a16="http://schemas.microsoft.com/office/drawing/2014/main" id="{B4ACEF1A-E3E3-0F89-4F00-58519A9AA157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841" name="Group 206">
            <a:extLst>
              <a:ext uri="{FF2B5EF4-FFF2-40B4-BE49-F238E27FC236}">
                <a16:creationId xmlns:a16="http://schemas.microsoft.com/office/drawing/2014/main" id="{2C01A9B9-47C9-5481-D11F-192AE0B88E4C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842" name="Rectangle 841">
              <a:extLst>
                <a:ext uri="{FF2B5EF4-FFF2-40B4-BE49-F238E27FC236}">
                  <a16:creationId xmlns:a16="http://schemas.microsoft.com/office/drawing/2014/main" id="{CB661529-CFE6-3F70-821C-20A0EDF8DFDD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843" name="Arc 26">
              <a:extLst>
                <a:ext uri="{FF2B5EF4-FFF2-40B4-BE49-F238E27FC236}">
                  <a16:creationId xmlns:a16="http://schemas.microsoft.com/office/drawing/2014/main" id="{6744B408-0CDE-327D-64F9-53FEA5659935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37</xdr:col>
      <xdr:colOff>889000</xdr:colOff>
      <xdr:row>28</xdr:row>
      <xdr:rowOff>190500</xdr:rowOff>
    </xdr:from>
    <xdr:to>
      <xdr:col>38</xdr:col>
      <xdr:colOff>1651000</xdr:colOff>
      <xdr:row>35</xdr:row>
      <xdr:rowOff>317501</xdr:rowOff>
    </xdr:to>
    <xdr:grpSp>
      <xdr:nvGrpSpPr>
        <xdr:cNvPr id="866" name="Groupe 865">
          <a:extLst>
            <a:ext uri="{FF2B5EF4-FFF2-40B4-BE49-F238E27FC236}">
              <a16:creationId xmlns:a16="http://schemas.microsoft.com/office/drawing/2014/main" id="{F4B0D4E2-1F8B-4157-BA44-0BD6874BBE1E}"/>
            </a:ext>
          </a:extLst>
        </xdr:cNvPr>
        <xdr:cNvGrpSpPr/>
      </xdr:nvGrpSpPr>
      <xdr:grpSpPr>
        <a:xfrm>
          <a:off x="140106400" y="11468100"/>
          <a:ext cx="4419600" cy="3327401"/>
          <a:chOff x="55467048" y="12967956"/>
          <a:chExt cx="4536471" cy="3835121"/>
        </a:xfrm>
      </xdr:grpSpPr>
      <xdr:grpSp>
        <xdr:nvGrpSpPr>
          <xdr:cNvPr id="867" name="Group 665">
            <a:extLst>
              <a:ext uri="{FF2B5EF4-FFF2-40B4-BE49-F238E27FC236}">
                <a16:creationId xmlns:a16="http://schemas.microsoft.com/office/drawing/2014/main" id="{75435A72-802F-50CD-ACCA-D6A5F0A90A77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884" name="Arrow: Right 666">
              <a:extLst>
                <a:ext uri="{FF2B5EF4-FFF2-40B4-BE49-F238E27FC236}">
                  <a16:creationId xmlns:a16="http://schemas.microsoft.com/office/drawing/2014/main" id="{427013D1-5443-8DD0-284E-BEEAF9D9BC22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885" name="Group 667">
              <a:extLst>
                <a:ext uri="{FF2B5EF4-FFF2-40B4-BE49-F238E27FC236}">
                  <a16:creationId xmlns:a16="http://schemas.microsoft.com/office/drawing/2014/main" id="{AAB0AB68-FC2D-58A8-9CA9-DEFFB2A9A103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886" name="Rectangle 885">
                <a:extLst>
                  <a:ext uri="{FF2B5EF4-FFF2-40B4-BE49-F238E27FC236}">
                    <a16:creationId xmlns:a16="http://schemas.microsoft.com/office/drawing/2014/main" id="{29E5F5F4-8C18-F01A-8B57-4A99DD158D25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887" name="Rectangle 886">
                <a:extLst>
                  <a:ext uri="{FF2B5EF4-FFF2-40B4-BE49-F238E27FC236}">
                    <a16:creationId xmlns:a16="http://schemas.microsoft.com/office/drawing/2014/main" id="{AEC13B9B-6DB2-68E2-3678-27DDE11F5544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888" name="Rectangle 887">
                <a:extLst>
                  <a:ext uri="{FF2B5EF4-FFF2-40B4-BE49-F238E27FC236}">
                    <a16:creationId xmlns:a16="http://schemas.microsoft.com/office/drawing/2014/main" id="{D29EB77D-F9C5-5485-D22A-77CBCF5BDC8E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889" name="Isosceles Triangle 674">
                <a:extLst>
                  <a:ext uri="{FF2B5EF4-FFF2-40B4-BE49-F238E27FC236}">
                    <a16:creationId xmlns:a16="http://schemas.microsoft.com/office/drawing/2014/main" id="{8A64EEE9-6DAD-DE88-0F62-47CD4AAF2CE8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868" name="Group 89">
            <a:extLst>
              <a:ext uri="{FF2B5EF4-FFF2-40B4-BE49-F238E27FC236}">
                <a16:creationId xmlns:a16="http://schemas.microsoft.com/office/drawing/2014/main" id="{A2F8F81A-35C5-56DD-3FEC-DA07889DE531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880" name="Rectangle 879">
              <a:extLst>
                <a:ext uri="{FF2B5EF4-FFF2-40B4-BE49-F238E27FC236}">
                  <a16:creationId xmlns:a16="http://schemas.microsoft.com/office/drawing/2014/main" id="{0B17C6A0-716D-F5CB-04DD-1D4F7E5C88BC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881" name="Straight Connector 92">
              <a:extLst>
                <a:ext uri="{FF2B5EF4-FFF2-40B4-BE49-F238E27FC236}">
                  <a16:creationId xmlns:a16="http://schemas.microsoft.com/office/drawing/2014/main" id="{4AA8DF67-CFE9-8062-B48F-88829927346E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82" name="Isosceles Triangle 103">
              <a:extLst>
                <a:ext uri="{FF2B5EF4-FFF2-40B4-BE49-F238E27FC236}">
                  <a16:creationId xmlns:a16="http://schemas.microsoft.com/office/drawing/2014/main" id="{906889D5-B542-5436-1EC4-9AE7D682B5AB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883" name="Rectangle 882">
              <a:extLst>
                <a:ext uri="{FF2B5EF4-FFF2-40B4-BE49-F238E27FC236}">
                  <a16:creationId xmlns:a16="http://schemas.microsoft.com/office/drawing/2014/main" id="{11728FC5-DB15-70EC-2786-931B2F3DEE73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869" name="Group 224">
            <a:extLst>
              <a:ext uri="{FF2B5EF4-FFF2-40B4-BE49-F238E27FC236}">
                <a16:creationId xmlns:a16="http://schemas.microsoft.com/office/drawing/2014/main" id="{3C9722E2-256E-564B-F39C-3586E3D3F214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873" name="Rectangle 872">
              <a:extLst>
                <a:ext uri="{FF2B5EF4-FFF2-40B4-BE49-F238E27FC236}">
                  <a16:creationId xmlns:a16="http://schemas.microsoft.com/office/drawing/2014/main" id="{1AD90BC1-0F93-7A6C-73EC-EF69A85EA5A7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874" name="Group 212">
              <a:extLst>
                <a:ext uri="{FF2B5EF4-FFF2-40B4-BE49-F238E27FC236}">
                  <a16:creationId xmlns:a16="http://schemas.microsoft.com/office/drawing/2014/main" id="{14132558-5C6B-2F15-AE39-F413650A1FE7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875" name="Line 11">
                <a:extLst>
                  <a:ext uri="{FF2B5EF4-FFF2-40B4-BE49-F238E27FC236}">
                    <a16:creationId xmlns:a16="http://schemas.microsoft.com/office/drawing/2014/main" id="{F06CDF88-9D32-0DB7-A1DC-AE14768B3BA4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876" name="Line 12">
                <a:extLst>
                  <a:ext uri="{FF2B5EF4-FFF2-40B4-BE49-F238E27FC236}">
                    <a16:creationId xmlns:a16="http://schemas.microsoft.com/office/drawing/2014/main" id="{FEC3C647-9223-1A21-9254-5885D6139906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877" name="Line 13">
                <a:extLst>
                  <a:ext uri="{FF2B5EF4-FFF2-40B4-BE49-F238E27FC236}">
                    <a16:creationId xmlns:a16="http://schemas.microsoft.com/office/drawing/2014/main" id="{D4ABA3E8-AEE0-4F17-43AF-A70CDFD9D308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878" name="Line 14">
                <a:extLst>
                  <a:ext uri="{FF2B5EF4-FFF2-40B4-BE49-F238E27FC236}">
                    <a16:creationId xmlns:a16="http://schemas.microsoft.com/office/drawing/2014/main" id="{D13B9BCE-1173-7B46-2E64-0CAF6C9208E5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879" name="Line 15">
                <a:extLst>
                  <a:ext uri="{FF2B5EF4-FFF2-40B4-BE49-F238E27FC236}">
                    <a16:creationId xmlns:a16="http://schemas.microsoft.com/office/drawing/2014/main" id="{E532F82D-0F46-D841-E28B-C2BB50876E5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870" name="Group 206">
            <a:extLst>
              <a:ext uri="{FF2B5EF4-FFF2-40B4-BE49-F238E27FC236}">
                <a16:creationId xmlns:a16="http://schemas.microsoft.com/office/drawing/2014/main" id="{44CE388C-4E5F-6DAE-643D-56283F65C92B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871" name="Rectangle 870">
              <a:extLst>
                <a:ext uri="{FF2B5EF4-FFF2-40B4-BE49-F238E27FC236}">
                  <a16:creationId xmlns:a16="http://schemas.microsoft.com/office/drawing/2014/main" id="{C6337ECF-869E-C78D-2370-97BC2D264BFB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872" name="Arc 26">
              <a:extLst>
                <a:ext uri="{FF2B5EF4-FFF2-40B4-BE49-F238E27FC236}">
                  <a16:creationId xmlns:a16="http://schemas.microsoft.com/office/drawing/2014/main" id="{9FC6BAFD-8B81-5EB3-3739-47FC7D0F910D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  <xdr:twoCellAnchor>
    <xdr:from>
      <xdr:col>41</xdr:col>
      <xdr:colOff>63500</xdr:colOff>
      <xdr:row>27</xdr:row>
      <xdr:rowOff>63500</xdr:rowOff>
    </xdr:from>
    <xdr:to>
      <xdr:col>42</xdr:col>
      <xdr:colOff>317500</xdr:colOff>
      <xdr:row>35</xdr:row>
      <xdr:rowOff>317501</xdr:rowOff>
    </xdr:to>
    <xdr:grpSp>
      <xdr:nvGrpSpPr>
        <xdr:cNvPr id="890" name="Groupe 889">
          <a:extLst>
            <a:ext uri="{FF2B5EF4-FFF2-40B4-BE49-F238E27FC236}">
              <a16:creationId xmlns:a16="http://schemas.microsoft.com/office/drawing/2014/main" id="{C61298BC-6DE0-4B2B-94C4-F1665FFFE1C8}"/>
            </a:ext>
          </a:extLst>
        </xdr:cNvPr>
        <xdr:cNvGrpSpPr/>
      </xdr:nvGrpSpPr>
      <xdr:grpSpPr>
        <a:xfrm>
          <a:off x="160693100" y="10883900"/>
          <a:ext cx="4749800" cy="3911601"/>
          <a:chOff x="55467048" y="12967956"/>
          <a:chExt cx="4536471" cy="3835121"/>
        </a:xfrm>
      </xdr:grpSpPr>
      <xdr:grpSp>
        <xdr:nvGrpSpPr>
          <xdr:cNvPr id="910" name="Group 665">
            <a:extLst>
              <a:ext uri="{FF2B5EF4-FFF2-40B4-BE49-F238E27FC236}">
                <a16:creationId xmlns:a16="http://schemas.microsoft.com/office/drawing/2014/main" id="{3A31C584-FEFE-CD48-0ADC-883CA4FD1CB5}"/>
              </a:ext>
            </a:extLst>
          </xdr:cNvPr>
          <xdr:cNvGrpSpPr/>
        </xdr:nvGrpSpPr>
        <xdr:grpSpPr>
          <a:xfrm>
            <a:off x="55467048" y="14171900"/>
            <a:ext cx="4536471" cy="671752"/>
            <a:chOff x="1323975" y="2581275"/>
            <a:chExt cx="685800" cy="340297"/>
          </a:xfrm>
        </xdr:grpSpPr>
        <xdr:sp macro="" textlink="">
          <xdr:nvSpPr>
            <xdr:cNvPr id="930" name="Arrow: Right 666">
              <a:extLst>
                <a:ext uri="{FF2B5EF4-FFF2-40B4-BE49-F238E27FC236}">
                  <a16:creationId xmlns:a16="http://schemas.microsoft.com/office/drawing/2014/main" id="{E1CB473B-3D7E-DA81-1604-11A0D767A59B}"/>
                </a:ext>
              </a:extLst>
            </xdr:cNvPr>
            <xdr:cNvSpPr/>
          </xdr:nvSpPr>
          <xdr:spPr>
            <a:xfrm>
              <a:off x="1324440" y="2581275"/>
              <a:ext cx="656760" cy="340297"/>
            </a:xfrm>
            <a:prstGeom prst="rightArrow">
              <a:avLst/>
            </a:prstGeom>
            <a:solidFill>
              <a:schemeClr val="bg1"/>
            </a:solid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931" name="Group 667">
              <a:extLst>
                <a:ext uri="{FF2B5EF4-FFF2-40B4-BE49-F238E27FC236}">
                  <a16:creationId xmlns:a16="http://schemas.microsoft.com/office/drawing/2014/main" id="{5200A43C-173D-BB2F-2322-EEB7AD980F3E}"/>
                </a:ext>
              </a:extLst>
            </xdr:cNvPr>
            <xdr:cNvGrpSpPr/>
          </xdr:nvGrpSpPr>
          <xdr:grpSpPr>
            <a:xfrm>
              <a:off x="1323975" y="2609850"/>
              <a:ext cx="685800" cy="276225"/>
              <a:chOff x="1323975" y="2609850"/>
              <a:chExt cx="685800" cy="276225"/>
            </a:xfrm>
          </xdr:grpSpPr>
          <xdr:sp macro="" textlink="">
            <xdr:nvSpPr>
              <xdr:cNvPr id="935" name="Rectangle 934">
                <a:extLst>
                  <a:ext uri="{FF2B5EF4-FFF2-40B4-BE49-F238E27FC236}">
                    <a16:creationId xmlns:a16="http://schemas.microsoft.com/office/drawing/2014/main" id="{EC95E137-AA22-878C-6A12-ACCD22884E05}"/>
                  </a:ext>
                </a:extLst>
              </xdr:cNvPr>
              <xdr:cNvSpPr/>
            </xdr:nvSpPr>
            <xdr:spPr>
              <a:xfrm>
                <a:off x="1323975" y="2647949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936" name="Rectangle 935">
                <a:extLst>
                  <a:ext uri="{FF2B5EF4-FFF2-40B4-BE49-F238E27FC236}">
                    <a16:creationId xmlns:a16="http://schemas.microsoft.com/office/drawing/2014/main" id="{B7D08ED7-215D-A055-93DE-1327746E5F0E}"/>
                  </a:ext>
                </a:extLst>
              </xdr:cNvPr>
              <xdr:cNvSpPr/>
            </xdr:nvSpPr>
            <xdr:spPr>
              <a:xfrm>
                <a:off x="148590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937" name="Rectangle 936">
                <a:extLst>
                  <a:ext uri="{FF2B5EF4-FFF2-40B4-BE49-F238E27FC236}">
                    <a16:creationId xmlns:a16="http://schemas.microsoft.com/office/drawing/2014/main" id="{CE53FF9D-1080-D4DC-3B8D-8C21F87863A1}"/>
                  </a:ext>
                </a:extLst>
              </xdr:cNvPr>
              <xdr:cNvSpPr/>
            </xdr:nvSpPr>
            <xdr:spPr>
              <a:xfrm>
                <a:off x="1657350" y="2657474"/>
                <a:ext cx="66676" cy="180975"/>
              </a:xfrm>
              <a:prstGeom prst="rect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938" name="Isosceles Triangle 674">
                <a:extLst>
                  <a:ext uri="{FF2B5EF4-FFF2-40B4-BE49-F238E27FC236}">
                    <a16:creationId xmlns:a16="http://schemas.microsoft.com/office/drawing/2014/main" id="{29525EE0-297C-4F1C-0527-021E9C326513}"/>
                  </a:ext>
                </a:extLst>
              </xdr:cNvPr>
              <xdr:cNvSpPr/>
            </xdr:nvSpPr>
            <xdr:spPr>
              <a:xfrm rot="5400000">
                <a:off x="1776412" y="2652713"/>
                <a:ext cx="276225" cy="190500"/>
              </a:xfrm>
              <a:prstGeom prst="triangl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</xdr:grpSp>
      <xdr:grpSp>
        <xdr:nvGrpSpPr>
          <xdr:cNvPr id="911" name="Group 89">
            <a:extLst>
              <a:ext uri="{FF2B5EF4-FFF2-40B4-BE49-F238E27FC236}">
                <a16:creationId xmlns:a16="http://schemas.microsoft.com/office/drawing/2014/main" id="{294E65C5-1518-C7BC-F521-1AC07B3EF3FB}"/>
              </a:ext>
            </a:extLst>
          </xdr:cNvPr>
          <xdr:cNvGrpSpPr/>
        </xdr:nvGrpSpPr>
        <xdr:grpSpPr>
          <a:xfrm>
            <a:off x="57244900" y="15476814"/>
            <a:ext cx="1599508" cy="1326263"/>
            <a:chOff x="571500" y="40290750"/>
            <a:chExt cx="1743075" cy="1409700"/>
          </a:xfrm>
        </xdr:grpSpPr>
        <xdr:sp macro="" textlink="">
          <xdr:nvSpPr>
            <xdr:cNvPr id="926" name="Rectangle 925">
              <a:extLst>
                <a:ext uri="{FF2B5EF4-FFF2-40B4-BE49-F238E27FC236}">
                  <a16:creationId xmlns:a16="http://schemas.microsoft.com/office/drawing/2014/main" id="{CD770E77-A3FC-E36B-5CDC-BE88B5141A1D}"/>
                </a:ext>
              </a:extLst>
            </xdr:cNvPr>
            <xdr:cNvSpPr/>
          </xdr:nvSpPr>
          <xdr:spPr>
            <a:xfrm>
              <a:off x="571500" y="40290750"/>
              <a:ext cx="1743075" cy="1409700"/>
            </a:xfrm>
            <a:prstGeom prst="rect">
              <a:avLst/>
            </a:prstGeom>
            <a:blipFill>
              <a:blip xmlns:r="http://schemas.openxmlformats.org/officeDocument/2006/relationships" r:embed="rId1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brightnessContrast bright="20000" contrast="20000"/>
                        </a14:imgEffect>
                      </a14:imgLayer>
                    </a14:imgProps>
                  </a:ext>
                </a:extLst>
              </a:blip>
              <a:tile tx="0" ty="0" sx="100000" sy="100000" flip="none" algn="tl"/>
            </a:blipFill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cxnSp macro="">
          <xdr:nvCxnSpPr>
            <xdr:cNvPr id="927" name="Straight Connector 92">
              <a:extLst>
                <a:ext uri="{FF2B5EF4-FFF2-40B4-BE49-F238E27FC236}">
                  <a16:creationId xmlns:a16="http://schemas.microsoft.com/office/drawing/2014/main" id="{6AB98AA8-5995-F32F-FD60-4B5732B85774}"/>
                </a:ext>
              </a:extLst>
            </xdr:cNvPr>
            <xdr:cNvCxnSpPr/>
          </xdr:nvCxnSpPr>
          <xdr:spPr>
            <a:xfrm>
              <a:off x="866775" y="41443275"/>
              <a:ext cx="115252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28" name="Isosceles Triangle 103">
              <a:extLst>
                <a:ext uri="{FF2B5EF4-FFF2-40B4-BE49-F238E27FC236}">
                  <a16:creationId xmlns:a16="http://schemas.microsoft.com/office/drawing/2014/main" id="{61C38F9B-4FEA-B1E1-F29F-81A2D767EA0B}"/>
                </a:ext>
              </a:extLst>
            </xdr:cNvPr>
            <xdr:cNvSpPr/>
          </xdr:nvSpPr>
          <xdr:spPr>
            <a:xfrm>
              <a:off x="847725" y="40452675"/>
              <a:ext cx="1133475" cy="762000"/>
            </a:xfrm>
            <a:prstGeom prst="triangle">
              <a:avLst/>
            </a:prstGeom>
            <a:noFill/>
            <a:ln w="28575"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929" name="Rectangle 928">
              <a:extLst>
                <a:ext uri="{FF2B5EF4-FFF2-40B4-BE49-F238E27FC236}">
                  <a16:creationId xmlns:a16="http://schemas.microsoft.com/office/drawing/2014/main" id="{FFACBA0F-DEF0-F3F6-02C1-D0F6ED924301}"/>
                </a:ext>
              </a:extLst>
            </xdr:cNvPr>
            <xdr:cNvSpPr/>
          </xdr:nvSpPr>
          <xdr:spPr>
            <a:xfrm>
              <a:off x="1143000" y="40728900"/>
              <a:ext cx="571500" cy="3905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2400" b="1" i="0">
                  <a:solidFill>
                    <a:schemeClr val="tx1"/>
                  </a:solidFill>
                </a:rPr>
                <a:t>I</a:t>
              </a:r>
            </a:p>
          </xdr:txBody>
        </xdr:sp>
      </xdr:grpSp>
      <xdr:grpSp>
        <xdr:nvGrpSpPr>
          <xdr:cNvPr id="912" name="Group 224">
            <a:extLst>
              <a:ext uri="{FF2B5EF4-FFF2-40B4-BE49-F238E27FC236}">
                <a16:creationId xmlns:a16="http://schemas.microsoft.com/office/drawing/2014/main" id="{AFB55857-D5D5-0362-51FA-F6CA0910AAB1}"/>
              </a:ext>
            </a:extLst>
          </xdr:cNvPr>
          <xdr:cNvGrpSpPr/>
        </xdr:nvGrpSpPr>
        <xdr:grpSpPr>
          <a:xfrm>
            <a:off x="56809472" y="12967958"/>
            <a:ext cx="1233714" cy="2380900"/>
            <a:chOff x="3733800" y="16354425"/>
            <a:chExt cx="1743075" cy="1409700"/>
          </a:xfrm>
          <a:solidFill>
            <a:schemeClr val="accent2">
              <a:lumMod val="75000"/>
            </a:schemeClr>
          </a:solidFill>
        </xdr:grpSpPr>
        <xdr:sp macro="" textlink="">
          <xdr:nvSpPr>
            <xdr:cNvPr id="918" name="Rectangle 917">
              <a:extLst>
                <a:ext uri="{FF2B5EF4-FFF2-40B4-BE49-F238E27FC236}">
                  <a16:creationId xmlns:a16="http://schemas.microsoft.com/office/drawing/2014/main" id="{66B35B24-3521-D74C-B7E8-A520835B3D6D}"/>
                </a:ext>
              </a:extLst>
            </xdr:cNvPr>
            <xdr:cNvSpPr/>
          </xdr:nvSpPr>
          <xdr:spPr>
            <a:xfrm>
              <a:off x="3733800" y="16354425"/>
              <a:ext cx="1743075" cy="140970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919" name="Group 212">
              <a:extLst>
                <a:ext uri="{FF2B5EF4-FFF2-40B4-BE49-F238E27FC236}">
                  <a16:creationId xmlns:a16="http://schemas.microsoft.com/office/drawing/2014/main" id="{9ACED066-072E-CB52-0E51-10107B94E33D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429125" y="16649700"/>
              <a:ext cx="257175" cy="809625"/>
              <a:chOff x="339" y="1152"/>
              <a:chExt cx="147" cy="433"/>
            </a:xfrm>
            <a:grpFill/>
          </xdr:grpSpPr>
          <xdr:sp macro="" textlink="">
            <xdr:nvSpPr>
              <xdr:cNvPr id="921" name="Line 11">
                <a:extLst>
                  <a:ext uri="{FF2B5EF4-FFF2-40B4-BE49-F238E27FC236}">
                    <a16:creationId xmlns:a16="http://schemas.microsoft.com/office/drawing/2014/main" id="{028BFAD7-6E67-21E9-0658-5CEAB4BEF502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86" y="1152"/>
                <a:ext cx="0" cy="432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922" name="Line 12">
                <a:extLst>
                  <a:ext uri="{FF2B5EF4-FFF2-40B4-BE49-F238E27FC236}">
                    <a16:creationId xmlns:a16="http://schemas.microsoft.com/office/drawing/2014/main" id="{9ADB72E8-D9C1-F4AC-1138-58AF5BB326E8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584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923" name="Line 13">
                <a:extLst>
                  <a:ext uri="{FF2B5EF4-FFF2-40B4-BE49-F238E27FC236}">
                    <a16:creationId xmlns:a16="http://schemas.microsoft.com/office/drawing/2014/main" id="{B7CB40DE-E682-24F7-8130-ACCB1A135D48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440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924" name="Line 14">
                <a:extLst>
                  <a:ext uri="{FF2B5EF4-FFF2-40B4-BE49-F238E27FC236}">
                    <a16:creationId xmlns:a16="http://schemas.microsoft.com/office/drawing/2014/main" id="{0C3D6531-4F37-EFA1-392A-E261E6374728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296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  <xdr:sp macro="" textlink="">
            <xdr:nvSpPr>
              <xdr:cNvPr id="925" name="Line 15">
                <a:extLst>
                  <a:ext uri="{FF2B5EF4-FFF2-40B4-BE49-F238E27FC236}">
                    <a16:creationId xmlns:a16="http://schemas.microsoft.com/office/drawing/2014/main" id="{471C0370-F28B-E166-D174-68E504504DFE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39" y="1152"/>
                <a:ext cx="141" cy="1"/>
              </a:xfrm>
              <a:prstGeom prst="line">
                <a:avLst/>
              </a:prstGeom>
              <a:grpFill/>
              <a:ln w="28575" cap="sq">
                <a:solidFill>
                  <a:schemeClr val="tx1"/>
                </a:solidFill>
                <a:round/>
                <a:headEnd/>
                <a:tailEnd/>
              </a:ln>
              <a:effectLst/>
            </xdr:spPr>
            <xdr:txBody>
              <a:bodyPr wrap="square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>
                  <a:lnSpc>
                    <a:spcPct val="90000"/>
                  </a:lnSpc>
                  <a:spcBef>
                    <a:spcPts val="750"/>
                  </a:spcBef>
                  <a:defRPr/>
                </a:pPr>
                <a:endParaRPr lang="en-US" sz="1600"/>
              </a:p>
            </xdr:txBody>
          </xdr:sp>
        </xdr:grpSp>
      </xdr:grpSp>
      <xdr:grpSp>
        <xdr:nvGrpSpPr>
          <xdr:cNvPr id="913" name="Group 206">
            <a:extLst>
              <a:ext uri="{FF2B5EF4-FFF2-40B4-BE49-F238E27FC236}">
                <a16:creationId xmlns:a16="http://schemas.microsoft.com/office/drawing/2014/main" id="{963060FF-4976-C916-31D7-053F6780102F}"/>
              </a:ext>
            </a:extLst>
          </xdr:cNvPr>
          <xdr:cNvGrpSpPr/>
        </xdr:nvGrpSpPr>
        <xdr:grpSpPr>
          <a:xfrm>
            <a:off x="58260900" y="12967956"/>
            <a:ext cx="1003050" cy="876886"/>
            <a:chOff x="266700" y="14344650"/>
            <a:chExt cx="1743075" cy="1314450"/>
          </a:xfrm>
          <a:solidFill>
            <a:schemeClr val="bg1">
              <a:lumMod val="85000"/>
            </a:schemeClr>
          </a:solidFill>
        </xdr:grpSpPr>
        <xdr:sp macro="" textlink="">
          <xdr:nvSpPr>
            <xdr:cNvPr id="915" name="Rectangle 914">
              <a:extLst>
                <a:ext uri="{FF2B5EF4-FFF2-40B4-BE49-F238E27FC236}">
                  <a16:creationId xmlns:a16="http://schemas.microsoft.com/office/drawing/2014/main" id="{EB91BFEB-2950-FC31-5C38-EFA1836F9EB6}"/>
                </a:ext>
              </a:extLst>
            </xdr:cNvPr>
            <xdr:cNvSpPr/>
          </xdr:nvSpPr>
          <xdr:spPr>
            <a:xfrm>
              <a:off x="266700" y="14344650"/>
              <a:ext cx="1743075" cy="1314450"/>
            </a:xfrm>
            <a:prstGeom prst="rect">
              <a:avLst/>
            </a:prstGeom>
            <a:grpFill/>
            <a:ln w="28575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916" name="Arc 26">
              <a:extLst>
                <a:ext uri="{FF2B5EF4-FFF2-40B4-BE49-F238E27FC236}">
                  <a16:creationId xmlns:a16="http://schemas.microsoft.com/office/drawing/2014/main" id="{525F0591-E228-E402-D133-137A0854242C}"/>
                </a:ext>
              </a:extLst>
            </xdr:cNvPr>
            <xdr:cNvSpPr>
              <a:spLocks/>
            </xdr:cNvSpPr>
          </xdr:nvSpPr>
          <xdr:spPr bwMode="auto">
            <a:xfrm rot="18887410">
              <a:off x="825004" y="14688973"/>
              <a:ext cx="709325" cy="726952"/>
            </a:xfrm>
            <a:custGeom>
              <a:avLst/>
              <a:gdLst>
                <a:gd name="T0" fmla="*/ 194204 w 43200"/>
                <a:gd name="T1" fmla="*/ 384166 h 43200"/>
                <a:gd name="T2" fmla="*/ 384175 w 43200"/>
                <a:gd name="T3" fmla="*/ 192088 h 43200"/>
                <a:gd name="T4" fmla="*/ 192088 w 43200"/>
                <a:gd name="T5" fmla="*/ 192088 h 43200"/>
                <a:gd name="T6" fmla="*/ 0 60000 65536"/>
                <a:gd name="T7" fmla="*/ 0 60000 65536"/>
                <a:gd name="T8" fmla="*/ 0 60000 65536"/>
                <a:gd name="T9" fmla="*/ 0 w 43200"/>
                <a:gd name="T10" fmla="*/ 0 h 43200"/>
                <a:gd name="T11" fmla="*/ 43200 w 43200"/>
                <a:gd name="T12" fmla="*/ 43200 h 432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43200" h="43200" fill="none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</a:path>
                <a:path w="43200" h="43200" stroke="0" extrusionOk="0">
                  <a:moveTo>
                    <a:pt x="21837" y="43198"/>
                  </a:moveTo>
                  <a:cubicBezTo>
                    <a:pt x="21758" y="43199"/>
                    <a:pt x="21679" y="43199"/>
                    <a:pt x="21600" y="43200"/>
                  </a:cubicBezTo>
                  <a:cubicBezTo>
                    <a:pt x="9670" y="43200"/>
                    <a:pt x="0" y="33529"/>
                    <a:pt x="0" y="21600"/>
                  </a:cubicBezTo>
                  <a:cubicBezTo>
                    <a:pt x="0" y="9670"/>
                    <a:pt x="9670" y="0"/>
                    <a:pt x="21600" y="0"/>
                  </a:cubicBezTo>
                  <a:cubicBezTo>
                    <a:pt x="33529" y="-1"/>
                    <a:pt x="43199" y="9670"/>
                    <a:pt x="43200" y="21599"/>
                  </a:cubicBezTo>
                  <a:lnTo>
                    <a:pt x="21600" y="21600"/>
                  </a:lnTo>
                  <a:close/>
                </a:path>
              </a:pathLst>
            </a:custGeom>
            <a:grpFill/>
            <a:ln w="38100">
              <a:solidFill>
                <a:schemeClr val="tx1"/>
              </a:solidFill>
              <a:round/>
              <a:headEnd/>
              <a:tailEnd type="triangle" w="med" len="med"/>
            </a:ln>
          </xdr:spPr>
          <xdr:txBody>
            <a:bodyPr vert="eaVert" wrap="square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90000"/>
                </a:lnSpc>
                <a:spcBef>
                  <a:spcPts val="750"/>
                </a:spcBef>
              </a:pPr>
              <a:endParaRPr lang="en-GB" altLang="en-US" sz="1600"/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525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47AFA0F-7E8C-4FCE-AE3B-AE57A4C19470}">
  <we:reference id="wa200005271" version="2.6.1.0" store="fr-FR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4D66BBC9-5C59-4425-A439-48A3F959D0D6}">
  <we:reference id="wa200005502" version="1.0.0.12" store="fr-FR" storeType="OMEX"/>
  <we:alternateReferences>
    <we:reference id="WA200005502" version="1.0.0.12" store="" storeType="OMEX"/>
  </we:alternateReferences>
  <we:properties>
    <we:property name="docId" value="&quot;ubdS4TySqwsUoqr6l2xKG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2A2A-72B7-4A6D-B7DB-80B852C9BE96}">
  <sheetPr codeName="Feuil1">
    <tabColor rgb="FFFFC000"/>
    <pageSetUpPr fitToPage="1"/>
  </sheetPr>
  <dimension ref="A1:WB2929"/>
  <sheetViews>
    <sheetView showGridLines="0" tabSelected="1" zoomScale="10" zoomScaleNormal="40" workbookViewId="0">
      <selection activeCell="AQ74" sqref="AQ74"/>
    </sheetView>
  </sheetViews>
  <sheetFormatPr baseColWidth="10" defaultColWidth="9.21875" defaultRowHeight="14.4" x14ac:dyDescent="0.3"/>
  <cols>
    <col min="1" max="1" width="12.77734375" customWidth="1"/>
    <col min="2" max="2" width="27.44140625" customWidth="1"/>
    <col min="3" max="5" width="12.77734375" customWidth="1"/>
    <col min="6" max="6" width="16.44140625" customWidth="1"/>
    <col min="7" max="7" width="12.77734375" customWidth="1"/>
    <col min="8" max="8" width="2.21875" customWidth="1"/>
    <col min="9" max="12" width="12.77734375" customWidth="1"/>
    <col min="13" max="13" width="29.109375" customWidth="1"/>
    <col min="14" max="14" width="53.44140625" customWidth="1"/>
    <col min="15" max="15" width="165.88671875" bestFit="1" customWidth="1"/>
    <col min="16" max="16" width="12.77734375" customWidth="1"/>
    <col min="17" max="17" width="29.88671875" customWidth="1"/>
    <col min="18" max="18" width="6.5546875" bestFit="1" customWidth="1"/>
    <col min="19" max="19" width="23" bestFit="1" customWidth="1"/>
    <col min="20" max="20" width="101" bestFit="1" customWidth="1"/>
    <col min="21" max="21" width="183.21875" customWidth="1"/>
    <col min="22" max="22" width="50" customWidth="1"/>
    <col min="23" max="23" width="24.6640625" customWidth="1"/>
    <col min="24" max="24" width="82.5546875" bestFit="1" customWidth="1"/>
    <col min="25" max="25" width="164" bestFit="1" customWidth="1"/>
    <col min="26" max="26" width="47.6640625" customWidth="1"/>
    <col min="27" max="27" width="31" customWidth="1"/>
    <col min="28" max="28" width="63.33203125" bestFit="1" customWidth="1"/>
    <col min="29" max="29" width="168.6640625" bestFit="1" customWidth="1"/>
    <col min="30" max="30" width="45.77734375" customWidth="1"/>
    <col min="31" max="31" width="25.6640625" bestFit="1" customWidth="1"/>
    <col min="32" max="32" width="59.6640625" bestFit="1" customWidth="1"/>
    <col min="33" max="33" width="168.6640625" bestFit="1" customWidth="1"/>
    <col min="34" max="34" width="36.88671875" customWidth="1"/>
    <col min="35" max="35" width="37.5546875" customWidth="1"/>
    <col min="36" max="36" width="80.21875" bestFit="1" customWidth="1"/>
    <col min="37" max="37" width="171.44140625" bestFit="1" customWidth="1"/>
    <col min="38" max="38" width="52.88671875" customWidth="1"/>
    <col min="39" max="39" width="27.33203125" customWidth="1"/>
    <col min="40" max="40" width="62.109375" bestFit="1" customWidth="1"/>
    <col min="41" max="41" width="168.6640625" bestFit="1" customWidth="1"/>
    <col min="42" max="42" width="65.77734375" customWidth="1"/>
    <col min="43" max="43" width="80.6640625" bestFit="1" customWidth="1"/>
    <col min="44" max="44" width="199.21875" customWidth="1"/>
    <col min="45" max="45" width="44.5546875" bestFit="1" customWidth="1"/>
    <col min="46" max="46" width="25.109375" customWidth="1"/>
    <col min="47" max="47" width="24.109375" customWidth="1"/>
    <col min="48" max="48" width="89" customWidth="1"/>
    <col min="49" max="49" width="21.77734375" customWidth="1"/>
    <col min="50" max="50" width="68.88671875" customWidth="1"/>
    <col min="51" max="51" width="111.77734375" customWidth="1"/>
    <col min="52" max="52" width="29.88671875" bestFit="1" customWidth="1"/>
    <col min="53" max="53" width="44" customWidth="1"/>
    <col min="54" max="55" width="12.77734375" customWidth="1"/>
    <col min="56" max="56" width="44.77734375" customWidth="1"/>
    <col min="57" max="57" width="25.44140625" customWidth="1"/>
    <col min="58" max="58" width="31.21875" customWidth="1"/>
    <col min="59" max="59" width="17.77734375" customWidth="1"/>
    <col min="60" max="60" width="45.21875" customWidth="1"/>
    <col min="61" max="62" width="12.77734375" customWidth="1"/>
    <col min="63" max="63" width="13.77734375" bestFit="1" customWidth="1"/>
    <col min="64" max="64" width="9.77734375" bestFit="1" customWidth="1"/>
    <col min="65" max="65" width="27.33203125" bestFit="1" customWidth="1"/>
    <col min="66" max="66" width="17.77734375" bestFit="1" customWidth="1"/>
    <col min="67" max="67" width="12.77734375" customWidth="1"/>
    <col min="68" max="68" width="11" bestFit="1" customWidth="1"/>
    <col min="69" max="69" width="11.88671875" bestFit="1" customWidth="1"/>
    <col min="70" max="70" width="23" bestFit="1" customWidth="1"/>
    <col min="71" max="71" width="21.77734375" customWidth="1"/>
    <col min="72" max="80" width="12.77734375" customWidth="1"/>
  </cols>
  <sheetData>
    <row r="1" spans="1:61" ht="17.2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</row>
    <row r="2" spans="1:61" ht="39" customHeight="1" x14ac:dyDescent="1">
      <c r="A2" s="7" t="s"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</row>
    <row r="3" spans="1:61" ht="7.8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</row>
    <row r="4" spans="1:61" hidden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</row>
    <row r="5" spans="1:61" ht="31.2" customHeight="1" x14ac:dyDescent="0.4">
      <c r="A5" s="2"/>
      <c r="B5" s="2"/>
      <c r="C5" s="2"/>
      <c r="D5" s="2"/>
      <c r="E5" s="2"/>
      <c r="F5" s="2"/>
      <c r="G5" s="2"/>
      <c r="H5" s="2"/>
      <c r="I5" s="2"/>
      <c r="J5" s="2"/>
      <c r="K5" s="46" t="s">
        <v>1</v>
      </c>
      <c r="L5" s="47"/>
      <c r="M5" s="39" t="s">
        <v>2</v>
      </c>
      <c r="N5" s="3"/>
      <c r="O5" s="3"/>
      <c r="P5" s="3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</row>
    <row r="6" spans="1:61" ht="23.4" x14ac:dyDescent="0.45">
      <c r="A6" s="2"/>
      <c r="B6" s="2"/>
      <c r="C6" s="6" t="s">
        <v>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</row>
    <row r="7" spans="1:6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</row>
    <row r="8" spans="1:61" ht="35.1" customHeight="1" x14ac:dyDescent="0.3">
      <c r="H8" s="1"/>
    </row>
    <row r="9" spans="1:61" ht="35.1" customHeight="1" x14ac:dyDescent="0.6">
      <c r="B9" s="4" t="s">
        <v>4</v>
      </c>
      <c r="F9" s="4" t="s">
        <v>5</v>
      </c>
      <c r="H9" s="1"/>
      <c r="O9" s="5"/>
    </row>
    <row r="10" spans="1:61" ht="35.1" customHeight="1" x14ac:dyDescent="0.3">
      <c r="H10" s="1"/>
    </row>
    <row r="11" spans="1:61" ht="35.1" customHeight="1" x14ac:dyDescent="0.6">
      <c r="H11" s="1"/>
      <c r="O11" s="5"/>
    </row>
    <row r="12" spans="1:61" ht="35.1" customHeight="1" x14ac:dyDescent="0.3">
      <c r="H12" s="1"/>
    </row>
    <row r="13" spans="1:61" ht="34.5" customHeight="1" x14ac:dyDescent="0.3">
      <c r="H13" s="1"/>
    </row>
    <row r="14" spans="1:61" ht="35.1" customHeight="1" x14ac:dyDescent="0.3">
      <c r="B14" s="4" t="s">
        <v>6</v>
      </c>
      <c r="F14" s="4" t="s">
        <v>7</v>
      </c>
      <c r="H14" s="1"/>
    </row>
    <row r="15" spans="1:61" ht="35.1" customHeight="1" x14ac:dyDescent="0.3">
      <c r="H15" s="1"/>
    </row>
    <row r="16" spans="1:61" ht="35.1" customHeight="1" x14ac:dyDescent="0.3">
      <c r="H16" s="1"/>
    </row>
    <row r="17" spans="2:18" ht="35.1" customHeight="1" x14ac:dyDescent="0.3">
      <c r="H17" s="1"/>
    </row>
    <row r="18" spans="2:18" ht="35.1" customHeight="1" x14ac:dyDescent="0.3">
      <c r="H18" s="1"/>
      <c r="R18" s="8"/>
    </row>
    <row r="19" spans="2:18" ht="35.1" customHeight="1" x14ac:dyDescent="0.3">
      <c r="H19" s="1"/>
    </row>
    <row r="20" spans="2:18" ht="35.1" customHeight="1" x14ac:dyDescent="0.3">
      <c r="B20" s="4" t="s">
        <v>8</v>
      </c>
      <c r="F20" s="4" t="s">
        <v>9</v>
      </c>
      <c r="H20" s="1"/>
    </row>
    <row r="21" spans="2:18" ht="35.1" customHeight="1" x14ac:dyDescent="0.3">
      <c r="H21" s="1"/>
    </row>
    <row r="22" spans="2:18" ht="35.1" customHeight="1" x14ac:dyDescent="0.3">
      <c r="H22" s="1"/>
    </row>
    <row r="23" spans="2:18" ht="35.1" customHeight="1" x14ac:dyDescent="0.3">
      <c r="H23" s="1"/>
    </row>
    <row r="24" spans="2:18" ht="35.1" customHeight="1" x14ac:dyDescent="0.3">
      <c r="H24" s="1"/>
    </row>
    <row r="25" spans="2:18" ht="35.1" customHeight="1" x14ac:dyDescent="0.3">
      <c r="B25" s="4" t="s">
        <v>10</v>
      </c>
      <c r="F25" s="4" t="s">
        <v>11</v>
      </c>
      <c r="H25" s="1"/>
    </row>
    <row r="26" spans="2:18" ht="35.1" customHeight="1" x14ac:dyDescent="0.3">
      <c r="H26" s="1"/>
    </row>
    <row r="27" spans="2:18" ht="35.1" customHeight="1" x14ac:dyDescent="0.3">
      <c r="H27" s="1"/>
    </row>
    <row r="28" spans="2:18" ht="35.1" customHeight="1" x14ac:dyDescent="0.3">
      <c r="H28" s="1"/>
    </row>
    <row r="29" spans="2:18" ht="35.1" customHeight="1" x14ac:dyDescent="0.3">
      <c r="H29" s="1"/>
    </row>
    <row r="30" spans="2:18" ht="35.1" customHeight="1" x14ac:dyDescent="0.3">
      <c r="B30" s="4" t="s">
        <v>12</v>
      </c>
      <c r="F30" s="4" t="s">
        <v>13</v>
      </c>
      <c r="H30" s="1"/>
    </row>
    <row r="31" spans="2:18" ht="35.1" customHeight="1" x14ac:dyDescent="0.3">
      <c r="H31" s="1"/>
    </row>
    <row r="32" spans="2:18" ht="35.1" customHeight="1" x14ac:dyDescent="0.3">
      <c r="H32" s="1"/>
    </row>
    <row r="33" spans="2:44" ht="35.1" customHeight="1" x14ac:dyDescent="0.3">
      <c r="H33" s="1"/>
    </row>
    <row r="34" spans="2:44" ht="35.1" customHeight="1" x14ac:dyDescent="0.3">
      <c r="H34" s="1"/>
    </row>
    <row r="35" spans="2:44" ht="35.1" customHeight="1" x14ac:dyDescent="0.3">
      <c r="B35" s="4" t="s">
        <v>14</v>
      </c>
      <c r="F35" s="4" t="s">
        <v>15</v>
      </c>
      <c r="H35" s="1"/>
    </row>
    <row r="36" spans="2:44" ht="35.1" customHeight="1" x14ac:dyDescent="0.3">
      <c r="H36" s="1"/>
    </row>
    <row r="37" spans="2:44" ht="35.1" customHeight="1" x14ac:dyDescent="0.3">
      <c r="H37" s="1"/>
    </row>
    <row r="38" spans="2:44" ht="21.6" customHeight="1" x14ac:dyDescent="0.3">
      <c r="H38" s="1"/>
    </row>
    <row r="39" spans="2:44" ht="9.6" customHeight="1" x14ac:dyDescent="0.3">
      <c r="H39" s="1"/>
    </row>
    <row r="40" spans="2:44" ht="14.4" customHeight="1" x14ac:dyDescent="0.3">
      <c r="B40" s="4" t="s">
        <v>16</v>
      </c>
      <c r="F40" s="4" t="s">
        <v>17</v>
      </c>
      <c r="H40" s="1"/>
    </row>
    <row r="41" spans="2:44" ht="120" customHeight="1" x14ac:dyDescent="1.05">
      <c r="H41" s="1"/>
      <c r="N41" s="58" t="s">
        <v>49</v>
      </c>
      <c r="O41" s="72"/>
      <c r="T41" s="58" t="s">
        <v>47</v>
      </c>
      <c r="U41" s="59"/>
      <c r="X41" s="58" t="s">
        <v>51</v>
      </c>
      <c r="Y41" s="59"/>
      <c r="AB41" s="58" t="s">
        <v>48</v>
      </c>
      <c r="AC41" s="59"/>
      <c r="AF41" s="58" t="s">
        <v>47</v>
      </c>
      <c r="AG41" s="59"/>
      <c r="AJ41" s="58" t="s">
        <v>67</v>
      </c>
      <c r="AK41" s="59"/>
      <c r="AN41" s="58" t="s">
        <v>46</v>
      </c>
      <c r="AO41" s="59"/>
      <c r="AQ41" s="58" t="s">
        <v>45</v>
      </c>
      <c r="AR41" s="59"/>
    </row>
    <row r="42" spans="2:44" ht="120" customHeight="1" x14ac:dyDescent="0.3">
      <c r="H42" s="1"/>
      <c r="N42" s="73" t="s">
        <v>39</v>
      </c>
      <c r="O42" s="58" t="s">
        <v>105</v>
      </c>
      <c r="T42" s="60" t="s">
        <v>39</v>
      </c>
      <c r="U42" s="61" t="s">
        <v>93</v>
      </c>
      <c r="X42" s="60" t="s">
        <v>39</v>
      </c>
      <c r="Y42" s="61" t="s">
        <v>113</v>
      </c>
      <c r="AB42" s="60" t="s">
        <v>39</v>
      </c>
      <c r="AC42" s="61" t="s">
        <v>107</v>
      </c>
      <c r="AF42" s="60" t="s">
        <v>39</v>
      </c>
      <c r="AG42" s="61" t="s">
        <v>93</v>
      </c>
      <c r="AJ42" s="60" t="s">
        <v>39</v>
      </c>
      <c r="AK42" s="61" t="s">
        <v>98</v>
      </c>
      <c r="AN42" s="60" t="s">
        <v>39</v>
      </c>
      <c r="AO42" s="61" t="s">
        <v>100</v>
      </c>
      <c r="AQ42" s="60" t="s">
        <v>39</v>
      </c>
      <c r="AR42" s="61" t="s">
        <v>109</v>
      </c>
    </row>
    <row r="43" spans="2:44" ht="120" customHeight="1" x14ac:dyDescent="0.3">
      <c r="H43" s="1"/>
      <c r="N43" s="73" t="s">
        <v>40</v>
      </c>
      <c r="O43" s="58" t="s">
        <v>106</v>
      </c>
      <c r="T43" s="60" t="s">
        <v>40</v>
      </c>
      <c r="U43" s="61" t="s">
        <v>94</v>
      </c>
      <c r="X43" s="60" t="s">
        <v>40</v>
      </c>
      <c r="Y43" s="61" t="s">
        <v>114</v>
      </c>
      <c r="AB43" s="60" t="s">
        <v>40</v>
      </c>
      <c r="AC43" s="61" t="s">
        <v>108</v>
      </c>
      <c r="AF43" s="60" t="s">
        <v>40</v>
      </c>
      <c r="AG43" s="61" t="s">
        <v>94</v>
      </c>
      <c r="AJ43" s="60" t="s">
        <v>40</v>
      </c>
      <c r="AK43" s="61" t="s">
        <v>99</v>
      </c>
      <c r="AN43" s="60" t="s">
        <v>40</v>
      </c>
      <c r="AO43" s="61" t="s">
        <v>101</v>
      </c>
      <c r="AQ43" s="60" t="s">
        <v>40</v>
      </c>
      <c r="AR43" s="61" t="s">
        <v>110</v>
      </c>
    </row>
    <row r="44" spans="2:44" ht="120" customHeight="1" x14ac:dyDescent="0.3">
      <c r="H44" s="1"/>
      <c r="N44" s="73" t="s">
        <v>41</v>
      </c>
      <c r="O44" s="58" t="s">
        <v>115</v>
      </c>
      <c r="T44" s="60" t="s">
        <v>41</v>
      </c>
      <c r="U44" s="61" t="s">
        <v>119</v>
      </c>
      <c r="X44" s="60" t="s">
        <v>41</v>
      </c>
      <c r="Y44" s="61" t="s">
        <v>52</v>
      </c>
      <c r="AB44" s="60" t="s">
        <v>41</v>
      </c>
      <c r="AC44" s="61" t="s">
        <v>44</v>
      </c>
      <c r="AF44" s="60" t="s">
        <v>41</v>
      </c>
      <c r="AG44" s="61" t="s">
        <v>119</v>
      </c>
      <c r="AJ44" s="60" t="s">
        <v>41</v>
      </c>
      <c r="AK44" s="61" t="s">
        <v>44</v>
      </c>
      <c r="AN44" s="60" t="s">
        <v>41</v>
      </c>
      <c r="AO44" s="61" t="s">
        <v>44</v>
      </c>
      <c r="AQ44" s="60" t="s">
        <v>41</v>
      </c>
      <c r="AR44" s="61" t="s">
        <v>44</v>
      </c>
    </row>
    <row r="45" spans="2:44" ht="120" customHeight="1" x14ac:dyDescent="0.3">
      <c r="B45" s="4" t="s">
        <v>18</v>
      </c>
      <c r="F45" s="4" t="s">
        <v>19</v>
      </c>
      <c r="H45" s="1"/>
      <c r="N45" s="73" t="s">
        <v>42</v>
      </c>
      <c r="O45" s="58" t="s">
        <v>95</v>
      </c>
      <c r="T45" s="60" t="s">
        <v>42</v>
      </c>
      <c r="U45" s="61" t="s">
        <v>95</v>
      </c>
      <c r="X45" s="60" t="s">
        <v>42</v>
      </c>
      <c r="Y45" s="61" t="s">
        <v>95</v>
      </c>
      <c r="AB45" s="60" t="s">
        <v>42</v>
      </c>
      <c r="AC45" s="61" t="s">
        <v>95</v>
      </c>
      <c r="AF45" s="60" t="s">
        <v>42</v>
      </c>
      <c r="AG45" s="61" t="s">
        <v>95</v>
      </c>
      <c r="AJ45" s="60" t="s">
        <v>42</v>
      </c>
      <c r="AK45" s="61" t="s">
        <v>95</v>
      </c>
      <c r="AN45" s="60" t="s">
        <v>42</v>
      </c>
      <c r="AO45" s="61" t="s">
        <v>95</v>
      </c>
      <c r="AQ45" s="60" t="s">
        <v>42</v>
      </c>
      <c r="AR45" s="61" t="s">
        <v>95</v>
      </c>
    </row>
    <row r="46" spans="2:44" ht="120" customHeight="1" x14ac:dyDescent="0.3">
      <c r="H46" s="1"/>
      <c r="N46" s="73" t="s">
        <v>43</v>
      </c>
      <c r="O46" s="58" t="s">
        <v>95</v>
      </c>
      <c r="T46" s="60" t="s">
        <v>43</v>
      </c>
      <c r="U46" s="61" t="s">
        <v>95</v>
      </c>
      <c r="X46" s="60" t="s">
        <v>43</v>
      </c>
      <c r="Y46" s="61" t="s">
        <v>95</v>
      </c>
      <c r="AB46" s="60" t="s">
        <v>43</v>
      </c>
      <c r="AC46" s="61" t="s">
        <v>95</v>
      </c>
      <c r="AF46" s="60" t="s">
        <v>43</v>
      </c>
      <c r="AG46" s="61" t="s">
        <v>95</v>
      </c>
      <c r="AJ46" s="60" t="s">
        <v>43</v>
      </c>
      <c r="AK46" s="61" t="s">
        <v>95</v>
      </c>
      <c r="AN46" s="60" t="s">
        <v>43</v>
      </c>
      <c r="AO46" s="61" t="s">
        <v>95</v>
      </c>
      <c r="AQ46" s="60" t="s">
        <v>43</v>
      </c>
      <c r="AR46" s="61" t="s">
        <v>118</v>
      </c>
    </row>
    <row r="47" spans="2:44" ht="35.1" customHeight="1" x14ac:dyDescent="0.3">
      <c r="H47" s="1"/>
    </row>
    <row r="48" spans="2:44" ht="21.6" customHeight="1" x14ac:dyDescent="0.3">
      <c r="H48" s="1"/>
    </row>
    <row r="49" spans="2:600" ht="54" customHeight="1" x14ac:dyDescent="0.3">
      <c r="H49" s="1"/>
    </row>
    <row r="50" spans="2:600" ht="9" customHeight="1" x14ac:dyDescent="0.3">
      <c r="B50" s="4" t="s">
        <v>20</v>
      </c>
      <c r="F50" s="4" t="s">
        <v>21</v>
      </c>
      <c r="H50" s="1"/>
    </row>
    <row r="51" spans="2:600" ht="178.2" customHeight="1" thickBot="1" x14ac:dyDescent="0.35">
      <c r="H51" s="1"/>
      <c r="I51" s="50"/>
      <c r="J51" s="50"/>
      <c r="K51" s="50"/>
      <c r="L51" s="50"/>
      <c r="M51" s="50"/>
      <c r="N51" s="50"/>
      <c r="O51" s="50"/>
      <c r="P51" s="70">
        <v>8776</v>
      </c>
      <c r="Q51" s="74"/>
      <c r="R51" s="74"/>
      <c r="S51" s="71"/>
      <c r="T51" s="50"/>
      <c r="U51" s="50"/>
      <c r="V51" s="70">
        <v>6755</v>
      </c>
      <c r="W51" s="71"/>
      <c r="X51" s="50"/>
      <c r="Y51" s="50"/>
      <c r="Z51" s="70">
        <v>4833</v>
      </c>
      <c r="AA51" s="71"/>
      <c r="AB51" s="50"/>
      <c r="AC51" s="50"/>
      <c r="AD51" s="70">
        <v>8776</v>
      </c>
      <c r="AE51" s="71"/>
      <c r="AF51" s="50"/>
      <c r="AG51" s="50"/>
      <c r="AH51" s="70">
        <v>8520</v>
      </c>
      <c r="AI51" s="71"/>
      <c r="AJ51" s="50"/>
      <c r="AK51" s="50"/>
      <c r="AL51" s="70">
        <v>17080</v>
      </c>
      <c r="AM51" s="71"/>
      <c r="AN51" s="50"/>
      <c r="AO51" s="50"/>
      <c r="AP51" s="76">
        <v>57960</v>
      </c>
      <c r="AQ51" s="50"/>
      <c r="AR51" s="50"/>
      <c r="AS51" s="57"/>
      <c r="AT51" s="57"/>
      <c r="AU51" s="57"/>
      <c r="AV51" s="57"/>
      <c r="AW51" s="62" t="s">
        <v>90</v>
      </c>
      <c r="AX51" s="63" t="s">
        <v>120</v>
      </c>
      <c r="AY51" s="64" t="s">
        <v>92</v>
      </c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</row>
    <row r="52" spans="2:600" ht="167.4" customHeight="1" thickBot="1" x14ac:dyDescent="1.1000000000000001">
      <c r="H52" s="1"/>
      <c r="I52" s="50"/>
      <c r="J52" s="50"/>
      <c r="K52" s="50"/>
      <c r="L52" s="50"/>
      <c r="M52" s="50"/>
      <c r="N52" s="68">
        <v>2.62</v>
      </c>
      <c r="O52" s="69"/>
      <c r="P52" s="50"/>
      <c r="Q52" s="50"/>
      <c r="R52" s="50"/>
      <c r="S52" s="53"/>
      <c r="T52" s="68">
        <v>10.97</v>
      </c>
      <c r="U52" s="69"/>
      <c r="V52" s="50"/>
      <c r="W52" s="53"/>
      <c r="X52" s="68">
        <v>13.51</v>
      </c>
      <c r="Y52" s="69"/>
      <c r="Z52" s="51"/>
      <c r="AA52" s="54"/>
      <c r="AB52" s="68">
        <v>16.11</v>
      </c>
      <c r="AC52" s="69"/>
      <c r="AD52" s="52"/>
      <c r="AE52" s="54"/>
      <c r="AF52" s="68">
        <v>10.97</v>
      </c>
      <c r="AG52" s="69"/>
      <c r="AH52" s="51"/>
      <c r="AI52" s="53"/>
      <c r="AJ52" s="68">
        <v>4.26</v>
      </c>
      <c r="AK52" s="69"/>
      <c r="AL52" s="50"/>
      <c r="AM52" s="53"/>
      <c r="AN52" s="68">
        <v>8.5399999999999991</v>
      </c>
      <c r="AO52" s="75"/>
      <c r="AP52" s="56"/>
      <c r="AQ52" s="68">
        <v>14.49</v>
      </c>
      <c r="AR52" s="69"/>
      <c r="AS52" s="50"/>
      <c r="AT52" s="50"/>
      <c r="AU52" s="50"/>
      <c r="AV52" s="50"/>
      <c r="AW52" s="65" t="s">
        <v>91</v>
      </c>
      <c r="AX52" s="66" t="s">
        <v>121</v>
      </c>
      <c r="AY52" s="67" t="s">
        <v>122</v>
      </c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  <c r="IB52" s="27"/>
      <c r="IC52" s="27"/>
      <c r="ID52" s="27"/>
      <c r="IE52" s="27"/>
      <c r="IF52" s="27"/>
      <c r="IG52" s="27"/>
      <c r="IH52" s="27"/>
      <c r="II52" s="27"/>
      <c r="IJ52" s="27"/>
      <c r="IK52" s="27"/>
      <c r="IL52" s="27"/>
      <c r="IM52" s="27"/>
      <c r="IN52" s="27"/>
      <c r="IO52" s="27"/>
      <c r="IP52" s="27"/>
      <c r="IQ52" s="27"/>
      <c r="IR52" s="27"/>
      <c r="IS52" s="27"/>
      <c r="IT52" s="27"/>
      <c r="IU52" s="27"/>
      <c r="IV52" s="27"/>
      <c r="IW52" s="27"/>
      <c r="IX52" s="27"/>
      <c r="IY52" s="27"/>
      <c r="IZ52" s="27"/>
      <c r="JA52" s="27"/>
      <c r="JB52" s="27"/>
      <c r="JC52" s="27"/>
      <c r="JD52" s="27"/>
      <c r="JE52" s="27"/>
      <c r="JF52" s="27"/>
      <c r="JG52" s="27"/>
      <c r="JH52" s="27"/>
      <c r="JI52" s="27"/>
      <c r="JJ52" s="27"/>
      <c r="JK52" s="27"/>
      <c r="JL52" s="27"/>
      <c r="JM52" s="27"/>
      <c r="JN52" s="27"/>
      <c r="JO52" s="27"/>
      <c r="JP52" s="27"/>
      <c r="JQ52" s="27"/>
      <c r="JR52" s="27"/>
      <c r="JS52" s="27"/>
      <c r="JT52" s="27"/>
      <c r="JU52" s="27"/>
      <c r="JV52" s="27"/>
      <c r="JW52" s="27"/>
      <c r="JX52" s="27"/>
      <c r="JY52" s="27"/>
      <c r="JZ52" s="27"/>
      <c r="KA52" s="27"/>
      <c r="KB52" s="27"/>
      <c r="KC52" s="27"/>
      <c r="KD52" s="27"/>
      <c r="KE52" s="27"/>
      <c r="KF52" s="27"/>
      <c r="KG52" s="27"/>
      <c r="KH52" s="27"/>
      <c r="KI52" s="27"/>
      <c r="KJ52" s="27"/>
      <c r="KK52" s="27"/>
      <c r="KL52" s="27"/>
      <c r="KM52" s="27"/>
      <c r="KN52" s="27"/>
      <c r="KO52" s="27"/>
      <c r="KP52" s="27"/>
      <c r="KQ52" s="27"/>
      <c r="KR52" s="27"/>
      <c r="KS52" s="27"/>
      <c r="KT52" s="27"/>
      <c r="KU52" s="27"/>
      <c r="KV52" s="27"/>
      <c r="KW52" s="27"/>
      <c r="KX52" s="27"/>
      <c r="KY52" s="27"/>
      <c r="KZ52" s="27"/>
      <c r="LA52" s="27"/>
      <c r="LB52" s="27"/>
      <c r="LC52" s="27"/>
      <c r="LD52" s="27"/>
      <c r="LE52" s="27"/>
      <c r="LF52" s="27"/>
      <c r="LG52" s="27"/>
      <c r="LH52" s="27"/>
      <c r="LI52" s="27"/>
      <c r="LJ52" s="27"/>
      <c r="LK52" s="27"/>
      <c r="LL52" s="27"/>
      <c r="LM52" s="27"/>
      <c r="LN52" s="27"/>
      <c r="LO52" s="27"/>
      <c r="LP52" s="27"/>
      <c r="LQ52" s="27"/>
      <c r="LR52" s="27"/>
      <c r="LS52" s="27"/>
      <c r="LT52" s="27"/>
      <c r="LU52" s="27"/>
      <c r="LV52" s="27"/>
      <c r="LW52" s="27"/>
      <c r="LX52" s="27"/>
      <c r="LY52" s="27"/>
      <c r="LZ52" s="27"/>
      <c r="MA52" s="27"/>
      <c r="MB52" s="27"/>
      <c r="MC52" s="27"/>
      <c r="MD52" s="27"/>
      <c r="ME52" s="27"/>
      <c r="MF52" s="27"/>
      <c r="MG52" s="27"/>
      <c r="MH52" s="27"/>
      <c r="MI52" s="27"/>
      <c r="MJ52" s="27"/>
      <c r="MK52" s="27"/>
      <c r="ML52" s="27"/>
      <c r="MM52" s="27"/>
      <c r="MN52" s="27"/>
      <c r="MO52" s="27"/>
      <c r="MP52" s="27"/>
      <c r="MQ52" s="27"/>
      <c r="MR52" s="27"/>
      <c r="MS52" s="27"/>
      <c r="MT52" s="27"/>
      <c r="MU52" s="27"/>
      <c r="MV52" s="27"/>
      <c r="MW52" s="27"/>
      <c r="MX52" s="27"/>
      <c r="MY52" s="27"/>
      <c r="MZ52" s="27"/>
      <c r="NA52" s="27"/>
      <c r="NB52" s="27"/>
      <c r="NC52" s="27"/>
      <c r="ND52" s="27"/>
      <c r="NE52" s="27"/>
      <c r="NF52" s="27"/>
      <c r="NG52" s="27"/>
      <c r="NH52" s="27"/>
      <c r="NI52" s="27"/>
      <c r="NJ52" s="27"/>
      <c r="NK52" s="27"/>
      <c r="NL52" s="27"/>
      <c r="NM52" s="27"/>
      <c r="NN52" s="27"/>
      <c r="NO52" s="27"/>
      <c r="NP52" s="27"/>
      <c r="NQ52" s="27"/>
      <c r="NR52" s="27"/>
      <c r="NS52" s="27"/>
      <c r="NT52" s="27"/>
      <c r="NU52" s="27"/>
      <c r="NV52" s="27"/>
      <c r="NW52" s="27"/>
      <c r="NX52" s="27"/>
      <c r="NY52" s="27"/>
      <c r="NZ52" s="27"/>
      <c r="OA52" s="27"/>
      <c r="OB52" s="27"/>
      <c r="OC52" s="27"/>
      <c r="OD52" s="27"/>
      <c r="OE52" s="27"/>
      <c r="OF52" s="27"/>
      <c r="OG52" s="27"/>
      <c r="OH52" s="27"/>
      <c r="OI52" s="27"/>
      <c r="OJ52" s="27"/>
      <c r="OK52" s="27"/>
      <c r="OL52" s="27"/>
      <c r="OM52" s="27"/>
      <c r="ON52" s="27"/>
      <c r="OO52" s="27"/>
      <c r="OP52" s="27"/>
      <c r="OQ52" s="27"/>
      <c r="OR52" s="27"/>
      <c r="OS52" s="27"/>
      <c r="OT52" s="27"/>
      <c r="OU52" s="27"/>
      <c r="OV52" s="27"/>
      <c r="OW52" s="27"/>
      <c r="OX52" s="27"/>
      <c r="OY52" s="27"/>
      <c r="OZ52" s="27"/>
      <c r="PA52" s="27"/>
      <c r="PB52" s="27"/>
      <c r="PC52" s="27"/>
      <c r="PD52" s="27"/>
      <c r="PE52" s="27"/>
      <c r="PF52" s="27"/>
      <c r="PG52" s="27"/>
      <c r="PH52" s="27"/>
      <c r="PI52" s="27"/>
      <c r="PJ52" s="27"/>
      <c r="PK52" s="27"/>
      <c r="PL52" s="27"/>
      <c r="PM52" s="27"/>
      <c r="PN52" s="27"/>
      <c r="PO52" s="27"/>
      <c r="PP52" s="27"/>
      <c r="PQ52" s="27"/>
      <c r="PR52" s="27"/>
      <c r="PS52" s="27"/>
      <c r="PT52" s="27"/>
      <c r="PU52" s="27"/>
      <c r="PV52" s="27"/>
      <c r="PW52" s="27"/>
      <c r="PX52" s="27"/>
      <c r="PY52" s="27"/>
      <c r="PZ52" s="27"/>
      <c r="QA52" s="27"/>
      <c r="QB52" s="27"/>
      <c r="QC52" s="27"/>
      <c r="QD52" s="27"/>
      <c r="QE52" s="27"/>
      <c r="QF52" s="27"/>
      <c r="QG52" s="27"/>
      <c r="QH52" s="27"/>
      <c r="QI52" s="27"/>
      <c r="QJ52" s="27"/>
      <c r="QK52" s="27"/>
      <c r="QL52" s="27"/>
      <c r="QM52" s="27"/>
      <c r="QN52" s="27"/>
      <c r="QO52" s="27"/>
      <c r="QP52" s="27"/>
      <c r="QQ52" s="27"/>
      <c r="QR52" s="27"/>
      <c r="QS52" s="27"/>
      <c r="QT52" s="27"/>
      <c r="QU52" s="27"/>
      <c r="QV52" s="27"/>
      <c r="QW52" s="27"/>
      <c r="QX52" s="27"/>
      <c r="QY52" s="27"/>
      <c r="QZ52" s="27"/>
      <c r="RA52" s="27"/>
      <c r="RB52" s="27"/>
      <c r="RC52" s="27"/>
      <c r="RD52" s="27"/>
      <c r="RE52" s="27"/>
      <c r="RF52" s="27"/>
      <c r="RG52" s="27"/>
      <c r="RH52" s="27"/>
      <c r="RI52" s="27"/>
      <c r="RJ52" s="27"/>
      <c r="RK52" s="27"/>
      <c r="RL52" s="27"/>
      <c r="RM52" s="27"/>
      <c r="RN52" s="27"/>
      <c r="RO52" s="27"/>
      <c r="RP52" s="27"/>
      <c r="RQ52" s="27"/>
      <c r="RR52" s="27"/>
      <c r="RS52" s="27"/>
      <c r="RT52" s="27"/>
      <c r="RU52" s="27"/>
      <c r="RV52" s="27"/>
      <c r="RW52" s="27"/>
      <c r="RX52" s="27"/>
      <c r="RY52" s="27"/>
      <c r="RZ52" s="27"/>
      <c r="SA52" s="27"/>
      <c r="SB52" s="27"/>
      <c r="SC52" s="27"/>
      <c r="SD52" s="27"/>
      <c r="SE52" s="27"/>
      <c r="SF52" s="27"/>
      <c r="SG52" s="27"/>
      <c r="SH52" s="27"/>
      <c r="SI52" s="27"/>
      <c r="SJ52" s="27"/>
      <c r="SK52" s="27"/>
      <c r="SL52" s="27"/>
      <c r="SM52" s="27"/>
      <c r="SN52" s="27"/>
      <c r="SO52" s="27"/>
      <c r="SP52" s="27"/>
      <c r="SQ52" s="27"/>
      <c r="SR52" s="27"/>
      <c r="SS52" s="27"/>
      <c r="ST52" s="27"/>
      <c r="SU52" s="27"/>
      <c r="SV52" s="27"/>
      <c r="SW52" s="27"/>
      <c r="SX52" s="27"/>
      <c r="SY52" s="27"/>
      <c r="SZ52" s="27"/>
      <c r="TA52" s="27"/>
      <c r="TB52" s="27"/>
      <c r="TC52" s="27"/>
      <c r="TD52" s="27"/>
      <c r="TE52" s="27"/>
      <c r="TF52" s="27"/>
      <c r="TG52" s="27"/>
      <c r="TH52" s="27"/>
      <c r="TI52" s="27"/>
      <c r="TJ52" s="27"/>
      <c r="TK52" s="27"/>
      <c r="TL52" s="27"/>
      <c r="TM52" s="27"/>
      <c r="TN52" s="27"/>
      <c r="TO52" s="27"/>
      <c r="TP52" s="27"/>
      <c r="TQ52" s="27"/>
      <c r="TR52" s="27"/>
      <c r="TS52" s="27"/>
      <c r="TT52" s="27"/>
      <c r="TU52" s="27"/>
      <c r="TV52" s="27"/>
      <c r="TW52" s="27"/>
      <c r="TX52" s="27"/>
      <c r="TY52" s="27"/>
      <c r="TZ52" s="27"/>
      <c r="UA52" s="27"/>
      <c r="UB52" s="27"/>
      <c r="UC52" s="27"/>
      <c r="UD52" s="27"/>
      <c r="UE52" s="27"/>
      <c r="UF52" s="27"/>
      <c r="UG52" s="27"/>
      <c r="UH52" s="27"/>
      <c r="UI52" s="27"/>
      <c r="UJ52" s="27"/>
      <c r="UK52" s="27"/>
      <c r="UL52" s="27"/>
      <c r="UM52" s="27"/>
      <c r="UN52" s="27"/>
      <c r="UO52" s="27"/>
      <c r="UP52" s="27"/>
      <c r="UQ52" s="27"/>
      <c r="UR52" s="27"/>
      <c r="US52" s="27"/>
      <c r="UT52" s="27"/>
      <c r="UU52" s="27"/>
      <c r="UV52" s="27"/>
      <c r="UW52" s="27"/>
      <c r="UX52" s="27"/>
      <c r="UY52" s="27"/>
      <c r="UZ52" s="27"/>
      <c r="VA52" s="27"/>
      <c r="VB52" s="27"/>
      <c r="VC52" s="27"/>
      <c r="VD52" s="27"/>
      <c r="VE52" s="27"/>
      <c r="VF52" s="27"/>
      <c r="VG52" s="27"/>
      <c r="VH52" s="27"/>
      <c r="VI52" s="27"/>
      <c r="VJ52" s="27"/>
      <c r="VK52" s="27"/>
      <c r="VL52" s="27"/>
      <c r="VM52" s="27"/>
      <c r="VN52" s="27"/>
      <c r="VO52" s="27"/>
      <c r="VP52" s="27"/>
      <c r="VQ52" s="27"/>
      <c r="VR52" s="27"/>
      <c r="VS52" s="27"/>
      <c r="VT52" s="27"/>
      <c r="VU52" s="27"/>
      <c r="VV52" s="27"/>
      <c r="VW52" s="27"/>
      <c r="VX52" s="27"/>
      <c r="VY52" s="27"/>
      <c r="VZ52" s="27"/>
      <c r="WA52" s="27"/>
      <c r="WB52" s="27"/>
    </row>
    <row r="53" spans="2:600" ht="79.2" customHeight="1" x14ac:dyDescent="0.3">
      <c r="H53" s="1"/>
      <c r="I53" s="28"/>
      <c r="J53" s="28"/>
      <c r="K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  <c r="IB53" s="27"/>
      <c r="IC53" s="27"/>
      <c r="ID53" s="27"/>
      <c r="IE53" s="27"/>
      <c r="IF53" s="27"/>
      <c r="IG53" s="27"/>
      <c r="IH53" s="27"/>
      <c r="II53" s="27"/>
      <c r="IJ53" s="27"/>
      <c r="IK53" s="27"/>
      <c r="IL53" s="27"/>
      <c r="IM53" s="27"/>
      <c r="IN53" s="27"/>
      <c r="IO53" s="27"/>
      <c r="IP53" s="27"/>
      <c r="IQ53" s="27"/>
      <c r="IR53" s="27"/>
      <c r="IS53" s="27"/>
      <c r="IT53" s="27"/>
      <c r="IU53" s="27"/>
      <c r="IV53" s="27"/>
      <c r="IW53" s="27"/>
      <c r="IX53" s="27"/>
      <c r="IY53" s="27"/>
      <c r="IZ53" s="27"/>
      <c r="JA53" s="27"/>
      <c r="JB53" s="27"/>
      <c r="JC53" s="27"/>
      <c r="JD53" s="27"/>
      <c r="JE53" s="27"/>
      <c r="JF53" s="27"/>
      <c r="JG53" s="27"/>
      <c r="JH53" s="27"/>
      <c r="JI53" s="27"/>
      <c r="JJ53" s="27"/>
      <c r="JK53" s="27"/>
      <c r="JL53" s="27"/>
      <c r="JM53" s="27"/>
      <c r="JN53" s="27"/>
      <c r="JO53" s="27"/>
      <c r="JP53" s="27"/>
      <c r="JQ53" s="27"/>
      <c r="JR53" s="27"/>
      <c r="JS53" s="27"/>
      <c r="JT53" s="27"/>
      <c r="JU53" s="27"/>
      <c r="JV53" s="27"/>
      <c r="JW53" s="27"/>
      <c r="JX53" s="27"/>
      <c r="JY53" s="27"/>
      <c r="JZ53" s="27"/>
      <c r="KA53" s="27"/>
      <c r="KB53" s="27"/>
      <c r="KC53" s="27"/>
      <c r="KD53" s="27"/>
      <c r="KE53" s="27"/>
      <c r="KF53" s="27"/>
      <c r="KG53" s="27"/>
      <c r="KH53" s="27"/>
      <c r="KI53" s="27"/>
      <c r="KJ53" s="27"/>
      <c r="KK53" s="27"/>
      <c r="KL53" s="27"/>
      <c r="KM53" s="27"/>
      <c r="KN53" s="27"/>
      <c r="KO53" s="27"/>
      <c r="KP53" s="27"/>
      <c r="KQ53" s="27"/>
      <c r="KR53" s="27"/>
      <c r="KS53" s="27"/>
      <c r="KT53" s="27"/>
      <c r="KU53" s="27"/>
      <c r="KV53" s="27"/>
      <c r="KW53" s="27"/>
      <c r="KX53" s="27"/>
      <c r="KY53" s="27"/>
      <c r="KZ53" s="27"/>
      <c r="LA53" s="27"/>
      <c r="LB53" s="27"/>
      <c r="LC53" s="27"/>
      <c r="LD53" s="27"/>
      <c r="LE53" s="27"/>
      <c r="LF53" s="27"/>
      <c r="LG53" s="27"/>
      <c r="LH53" s="27"/>
      <c r="LI53" s="27"/>
      <c r="LJ53" s="27"/>
      <c r="LK53" s="27"/>
      <c r="LL53" s="27"/>
      <c r="LM53" s="27"/>
      <c r="LN53" s="27"/>
      <c r="LO53" s="27"/>
      <c r="LP53" s="27"/>
      <c r="LQ53" s="27"/>
      <c r="LR53" s="27"/>
      <c r="LS53" s="27"/>
      <c r="LT53" s="27"/>
      <c r="LU53" s="27"/>
      <c r="LV53" s="27"/>
      <c r="LW53" s="27"/>
      <c r="LX53" s="27"/>
      <c r="LY53" s="27"/>
      <c r="LZ53" s="27"/>
      <c r="MA53" s="27"/>
      <c r="MB53" s="27"/>
      <c r="MC53" s="27"/>
      <c r="MD53" s="27"/>
      <c r="ME53" s="27"/>
      <c r="MF53" s="27"/>
      <c r="MG53" s="27"/>
      <c r="MH53" s="27"/>
      <c r="MI53" s="27"/>
      <c r="MJ53" s="27"/>
      <c r="MK53" s="27"/>
      <c r="ML53" s="27"/>
      <c r="MM53" s="27"/>
      <c r="MN53" s="27"/>
      <c r="MO53" s="27"/>
      <c r="MP53" s="27"/>
      <c r="MQ53" s="27"/>
      <c r="MR53" s="27"/>
      <c r="MS53" s="27"/>
      <c r="MT53" s="27"/>
      <c r="MU53" s="27"/>
      <c r="MV53" s="27"/>
      <c r="MW53" s="27"/>
      <c r="MX53" s="27"/>
      <c r="MY53" s="27"/>
      <c r="MZ53" s="27"/>
      <c r="NA53" s="27"/>
      <c r="NB53" s="27"/>
      <c r="NC53" s="27"/>
      <c r="ND53" s="27"/>
      <c r="NE53" s="27"/>
      <c r="NF53" s="27"/>
      <c r="NG53" s="27"/>
      <c r="NH53" s="27"/>
      <c r="NI53" s="27"/>
      <c r="NJ53" s="27"/>
      <c r="NK53" s="27"/>
      <c r="NL53" s="27"/>
      <c r="NM53" s="27"/>
      <c r="NN53" s="27"/>
      <c r="NO53" s="27"/>
      <c r="NP53" s="27"/>
      <c r="NQ53" s="27"/>
      <c r="NR53" s="27"/>
      <c r="NS53" s="27"/>
      <c r="NT53" s="27"/>
      <c r="NU53" s="27"/>
      <c r="NV53" s="27"/>
      <c r="NW53" s="27"/>
      <c r="NX53" s="27"/>
      <c r="NY53" s="27"/>
      <c r="NZ53" s="27"/>
      <c r="OA53" s="27"/>
      <c r="OB53" s="27"/>
      <c r="OC53" s="27"/>
      <c r="OD53" s="27"/>
      <c r="OE53" s="27"/>
      <c r="OF53" s="27"/>
      <c r="OG53" s="27"/>
      <c r="OH53" s="27"/>
      <c r="OI53" s="27"/>
      <c r="OJ53" s="27"/>
      <c r="OK53" s="27"/>
      <c r="OL53" s="27"/>
      <c r="OM53" s="27"/>
      <c r="ON53" s="27"/>
      <c r="OO53" s="27"/>
      <c r="OP53" s="27"/>
      <c r="OQ53" s="27"/>
      <c r="OR53" s="27"/>
      <c r="OS53" s="27"/>
      <c r="OT53" s="27"/>
      <c r="OU53" s="27"/>
      <c r="OV53" s="27"/>
      <c r="OW53" s="27"/>
      <c r="OX53" s="27"/>
      <c r="OY53" s="27"/>
      <c r="OZ53" s="27"/>
      <c r="PA53" s="27"/>
      <c r="PB53" s="27"/>
      <c r="PC53" s="27"/>
      <c r="PD53" s="27"/>
      <c r="PE53" s="27"/>
      <c r="PF53" s="27"/>
      <c r="PG53" s="27"/>
      <c r="PH53" s="27"/>
      <c r="PI53" s="27"/>
      <c r="PJ53" s="27"/>
      <c r="PK53" s="27"/>
      <c r="PL53" s="27"/>
      <c r="PM53" s="27"/>
      <c r="PN53" s="27"/>
      <c r="PO53" s="27"/>
      <c r="PP53" s="27"/>
      <c r="PQ53" s="27"/>
      <c r="PR53" s="27"/>
      <c r="PS53" s="27"/>
      <c r="PT53" s="27"/>
      <c r="PU53" s="27"/>
      <c r="PV53" s="27"/>
      <c r="PW53" s="27"/>
      <c r="PX53" s="27"/>
      <c r="PY53" s="27"/>
      <c r="PZ53" s="27"/>
      <c r="QA53" s="27"/>
      <c r="QB53" s="27"/>
      <c r="QC53" s="27"/>
      <c r="QD53" s="27"/>
      <c r="QE53" s="27"/>
      <c r="QF53" s="27"/>
      <c r="QG53" s="27"/>
      <c r="QH53" s="27"/>
      <c r="QI53" s="27"/>
      <c r="QJ53" s="27"/>
      <c r="QK53" s="27"/>
      <c r="QL53" s="27"/>
      <c r="QM53" s="27"/>
      <c r="QN53" s="27"/>
      <c r="QO53" s="27"/>
      <c r="QP53" s="27"/>
      <c r="QQ53" s="27"/>
      <c r="QR53" s="27"/>
      <c r="QS53" s="27"/>
      <c r="QT53" s="27"/>
      <c r="QU53" s="27"/>
      <c r="QV53" s="27"/>
      <c r="QW53" s="27"/>
      <c r="QX53" s="27"/>
      <c r="QY53" s="27"/>
      <c r="QZ53" s="27"/>
      <c r="RA53" s="27"/>
      <c r="RB53" s="27"/>
      <c r="RC53" s="27"/>
      <c r="RD53" s="27"/>
      <c r="RE53" s="27"/>
      <c r="RF53" s="27"/>
      <c r="RG53" s="27"/>
      <c r="RH53" s="27"/>
      <c r="RI53" s="27"/>
      <c r="RJ53" s="27"/>
      <c r="RK53" s="27"/>
      <c r="RL53" s="27"/>
      <c r="RM53" s="27"/>
      <c r="RN53" s="27"/>
      <c r="RO53" s="27"/>
      <c r="RP53" s="27"/>
      <c r="RQ53" s="27"/>
      <c r="RR53" s="27"/>
      <c r="RS53" s="27"/>
      <c r="RT53" s="27"/>
      <c r="RU53" s="27"/>
      <c r="RV53" s="27"/>
      <c r="RW53" s="27"/>
      <c r="RX53" s="27"/>
      <c r="RY53" s="27"/>
      <c r="RZ53" s="27"/>
      <c r="SA53" s="27"/>
      <c r="SB53" s="27"/>
      <c r="SC53" s="27"/>
      <c r="SD53" s="27"/>
      <c r="SE53" s="27"/>
      <c r="SF53" s="27"/>
      <c r="SG53" s="27"/>
      <c r="SH53" s="27"/>
      <c r="SI53" s="27"/>
      <c r="SJ53" s="27"/>
      <c r="SK53" s="27"/>
      <c r="SL53" s="27"/>
      <c r="SM53" s="27"/>
      <c r="SN53" s="27"/>
      <c r="SO53" s="27"/>
      <c r="SP53" s="27"/>
      <c r="SQ53" s="27"/>
      <c r="SR53" s="27"/>
      <c r="SS53" s="27"/>
      <c r="ST53" s="27"/>
      <c r="SU53" s="27"/>
      <c r="SV53" s="27"/>
      <c r="SW53" s="27"/>
      <c r="SX53" s="27"/>
      <c r="SY53" s="27"/>
      <c r="SZ53" s="27"/>
      <c r="TA53" s="27"/>
      <c r="TB53" s="27"/>
      <c r="TC53" s="27"/>
      <c r="TD53" s="27"/>
      <c r="TE53" s="27"/>
      <c r="TF53" s="27"/>
      <c r="TG53" s="27"/>
      <c r="TH53" s="27"/>
      <c r="TI53" s="27"/>
      <c r="TJ53" s="27"/>
      <c r="TK53" s="27"/>
      <c r="TL53" s="27"/>
      <c r="TM53" s="27"/>
      <c r="TN53" s="27"/>
      <c r="TO53" s="27"/>
      <c r="TP53" s="27"/>
      <c r="TQ53" s="27"/>
      <c r="TR53" s="27"/>
      <c r="TS53" s="27"/>
      <c r="TT53" s="27"/>
      <c r="TU53" s="27"/>
      <c r="TV53" s="27"/>
      <c r="TW53" s="27"/>
      <c r="TX53" s="27"/>
      <c r="TY53" s="27"/>
      <c r="TZ53" s="27"/>
      <c r="UA53" s="27"/>
      <c r="UB53" s="27"/>
      <c r="UC53" s="27"/>
      <c r="UD53" s="27"/>
      <c r="UE53" s="27"/>
      <c r="UF53" s="27"/>
      <c r="UG53" s="27"/>
      <c r="UH53" s="27"/>
      <c r="UI53" s="27"/>
      <c r="UJ53" s="27"/>
      <c r="UK53" s="27"/>
      <c r="UL53" s="27"/>
      <c r="UM53" s="27"/>
      <c r="UN53" s="27"/>
      <c r="UO53" s="27"/>
      <c r="UP53" s="27"/>
      <c r="UQ53" s="27"/>
      <c r="UR53" s="27"/>
      <c r="US53" s="27"/>
      <c r="UT53" s="27"/>
      <c r="UU53" s="27"/>
      <c r="UV53" s="27"/>
      <c r="UW53" s="27"/>
      <c r="UX53" s="27"/>
      <c r="UY53" s="27"/>
      <c r="UZ53" s="27"/>
      <c r="VA53" s="27"/>
      <c r="VB53" s="27"/>
      <c r="VC53" s="27"/>
      <c r="VD53" s="27"/>
      <c r="VE53" s="27"/>
      <c r="VF53" s="27"/>
      <c r="VG53" s="27"/>
      <c r="VH53" s="27"/>
      <c r="VI53" s="27"/>
      <c r="VJ53" s="27"/>
      <c r="VK53" s="27"/>
      <c r="VL53" s="27"/>
      <c r="VM53" s="27"/>
      <c r="VN53" s="27"/>
      <c r="VO53" s="27"/>
      <c r="VP53" s="27"/>
      <c r="VQ53" s="27"/>
      <c r="VR53" s="27"/>
      <c r="VS53" s="27"/>
      <c r="VT53" s="27"/>
      <c r="VU53" s="27"/>
      <c r="VV53" s="27"/>
      <c r="VW53" s="27"/>
      <c r="VX53" s="27"/>
      <c r="VY53" s="27"/>
      <c r="VZ53" s="27"/>
      <c r="WA53" s="27"/>
      <c r="WB53" s="27"/>
    </row>
    <row r="54" spans="2:600" ht="35.1" customHeight="1" x14ac:dyDescent="0.3">
      <c r="H54" s="1"/>
    </row>
    <row r="55" spans="2:600" ht="35.1" customHeight="1" x14ac:dyDescent="0.3">
      <c r="B55" s="4" t="s">
        <v>22</v>
      </c>
      <c r="F55" s="4" t="s">
        <v>23</v>
      </c>
      <c r="H55" s="1"/>
    </row>
    <row r="56" spans="2:600" ht="35.1" customHeight="1" x14ac:dyDescent="0.3">
      <c r="H56" s="1"/>
    </row>
    <row r="57" spans="2:600" ht="35.1" customHeight="1" x14ac:dyDescent="0.3">
      <c r="H57" s="1"/>
    </row>
    <row r="58" spans="2:600" ht="35.1" customHeight="1" x14ac:dyDescent="0.3">
      <c r="H58" s="1"/>
    </row>
    <row r="59" spans="2:600" ht="35.1" customHeight="1" x14ac:dyDescent="0.3">
      <c r="H59" s="1"/>
    </row>
    <row r="60" spans="2:600" ht="35.1" customHeight="1" x14ac:dyDescent="0.3">
      <c r="B60" s="4" t="s">
        <v>24</v>
      </c>
      <c r="E60" s="4"/>
      <c r="F60" s="4" t="s">
        <v>25</v>
      </c>
      <c r="H60" s="1"/>
    </row>
    <row r="61" spans="2:600" ht="35.1" customHeight="1" x14ac:dyDescent="0.3">
      <c r="H61" s="1"/>
    </row>
    <row r="62" spans="2:600" ht="35.1" customHeight="1" x14ac:dyDescent="0.3">
      <c r="H62" s="1"/>
    </row>
    <row r="63" spans="2:600" ht="35.1" customHeight="1" x14ac:dyDescent="0.3">
      <c r="H63" s="1"/>
    </row>
    <row r="64" spans="2:600" ht="35.1" customHeight="1" x14ac:dyDescent="0.3">
      <c r="H64" s="1"/>
    </row>
    <row r="65" spans="1:600" ht="35.1" customHeight="1" x14ac:dyDescent="0.3">
      <c r="A65" s="29"/>
      <c r="B65" s="30" t="s">
        <v>26</v>
      </c>
      <c r="C65" s="29"/>
      <c r="D65" s="29"/>
      <c r="E65" s="29"/>
      <c r="F65" s="30" t="s">
        <v>27</v>
      </c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29"/>
      <c r="DX65" s="29"/>
      <c r="DY65" s="29"/>
      <c r="DZ65" s="29"/>
      <c r="EA65" s="29"/>
      <c r="EB65" s="29"/>
      <c r="EC65" s="29"/>
      <c r="ED65" s="29"/>
      <c r="EE65" s="29"/>
      <c r="EF65" s="29"/>
      <c r="EG65" s="29"/>
      <c r="EH65" s="29"/>
      <c r="EI65" s="29"/>
      <c r="EJ65" s="29"/>
      <c r="EK65" s="29"/>
      <c r="EL65" s="29"/>
      <c r="EM65" s="29"/>
      <c r="EN65" s="29"/>
      <c r="EO65" s="29"/>
      <c r="EP65" s="29"/>
      <c r="EQ65" s="29"/>
      <c r="ER65" s="29"/>
      <c r="ES65" s="29"/>
      <c r="ET65" s="29"/>
      <c r="EU65" s="29"/>
      <c r="EV65" s="29"/>
      <c r="EW65" s="29"/>
      <c r="EX65" s="29"/>
      <c r="EY65" s="29"/>
      <c r="EZ65" s="29"/>
      <c r="FA65" s="29"/>
      <c r="FB65" s="29"/>
      <c r="FC65" s="29"/>
      <c r="FD65" s="29"/>
      <c r="FE65" s="29"/>
      <c r="FF65" s="29"/>
      <c r="FG65" s="29"/>
      <c r="FH65" s="29"/>
      <c r="FI65" s="29"/>
      <c r="FJ65" s="29"/>
      <c r="FK65" s="29"/>
      <c r="FL65" s="29"/>
      <c r="FM65" s="29"/>
      <c r="FN65" s="29"/>
      <c r="FO65" s="29"/>
      <c r="FP65" s="29"/>
      <c r="FQ65" s="29"/>
      <c r="FR65" s="29"/>
      <c r="FS65" s="29"/>
      <c r="FT65" s="29"/>
      <c r="FU65" s="29"/>
      <c r="FV65" s="29"/>
      <c r="FW65" s="29"/>
      <c r="FX65" s="29"/>
      <c r="FY65" s="29"/>
      <c r="FZ65" s="29"/>
      <c r="GA65" s="29"/>
      <c r="GB65" s="29"/>
      <c r="GC65" s="29"/>
      <c r="GD65" s="29"/>
      <c r="GE65" s="29"/>
      <c r="GF65" s="29"/>
      <c r="GG65" s="29"/>
      <c r="GH65" s="29"/>
      <c r="GI65" s="29"/>
      <c r="GJ65" s="29"/>
      <c r="GK65" s="29"/>
      <c r="GL65" s="29"/>
      <c r="GM65" s="29"/>
      <c r="GN65" s="29"/>
      <c r="GO65" s="29"/>
      <c r="GP65" s="29"/>
      <c r="GQ65" s="29"/>
      <c r="GR65" s="29"/>
      <c r="GS65" s="29"/>
      <c r="GT65" s="29"/>
      <c r="GU65" s="29"/>
      <c r="GV65" s="29"/>
      <c r="GW65" s="29"/>
      <c r="GX65" s="29"/>
      <c r="GY65" s="29"/>
      <c r="GZ65" s="29"/>
      <c r="HA65" s="29"/>
      <c r="HB65" s="29"/>
      <c r="HC65" s="29"/>
      <c r="HD65" s="29"/>
      <c r="HE65" s="29"/>
      <c r="HF65" s="29"/>
      <c r="HG65" s="29"/>
      <c r="HH65" s="29"/>
      <c r="HI65" s="29"/>
      <c r="HJ65" s="29"/>
      <c r="HK65" s="29"/>
      <c r="HL65" s="29"/>
      <c r="HM65" s="29"/>
      <c r="HN65" s="29"/>
      <c r="HO65" s="29"/>
      <c r="HP65" s="29"/>
      <c r="HQ65" s="29"/>
      <c r="HR65" s="29"/>
      <c r="HS65" s="29"/>
      <c r="HT65" s="29"/>
      <c r="HU65" s="29"/>
      <c r="HV65" s="29"/>
      <c r="HW65" s="29"/>
      <c r="HX65" s="29"/>
      <c r="HY65" s="29"/>
      <c r="HZ65" s="29"/>
      <c r="IA65" s="29"/>
      <c r="IB65" s="29"/>
      <c r="IC65" s="29"/>
      <c r="ID65" s="29"/>
      <c r="IE65" s="29"/>
      <c r="IF65" s="29"/>
      <c r="IG65" s="29"/>
      <c r="IH65" s="29"/>
      <c r="II65" s="29"/>
      <c r="IJ65" s="29"/>
      <c r="IK65" s="29"/>
      <c r="IL65" s="29"/>
      <c r="IM65" s="29"/>
      <c r="IN65" s="29"/>
      <c r="IO65" s="29"/>
      <c r="IP65" s="29"/>
      <c r="IQ65" s="29"/>
      <c r="IR65" s="29"/>
      <c r="IS65" s="29"/>
      <c r="IT65" s="29"/>
      <c r="IU65" s="29"/>
      <c r="IV65" s="29"/>
      <c r="IW65" s="29"/>
      <c r="IX65" s="29"/>
      <c r="IY65" s="29"/>
      <c r="IZ65" s="29"/>
      <c r="JA65" s="29"/>
      <c r="JB65" s="29"/>
      <c r="JC65" s="29"/>
      <c r="JD65" s="29"/>
      <c r="JE65" s="29"/>
      <c r="JF65" s="29"/>
      <c r="JG65" s="29"/>
      <c r="JH65" s="29"/>
      <c r="JI65" s="29"/>
      <c r="JJ65" s="29"/>
      <c r="JK65" s="29"/>
      <c r="JL65" s="29"/>
      <c r="JM65" s="29"/>
      <c r="JN65" s="29"/>
      <c r="JO65" s="29"/>
      <c r="JP65" s="29"/>
      <c r="JQ65" s="29"/>
      <c r="JR65" s="29"/>
      <c r="JS65" s="29"/>
      <c r="JT65" s="29"/>
      <c r="JU65" s="29"/>
      <c r="JV65" s="29"/>
      <c r="JW65" s="29"/>
      <c r="JX65" s="29"/>
      <c r="JY65" s="29"/>
      <c r="JZ65" s="29"/>
      <c r="KA65" s="29"/>
      <c r="KB65" s="29"/>
      <c r="KC65" s="29"/>
      <c r="KD65" s="29"/>
      <c r="KE65" s="29"/>
      <c r="KF65" s="29"/>
      <c r="KG65" s="29"/>
      <c r="KH65" s="29"/>
      <c r="KI65" s="29"/>
      <c r="KJ65" s="29"/>
      <c r="KK65" s="29"/>
      <c r="KL65" s="29"/>
      <c r="KM65" s="29"/>
      <c r="KN65" s="29"/>
      <c r="KO65" s="29"/>
      <c r="KP65" s="29"/>
      <c r="KQ65" s="29"/>
      <c r="KR65" s="29"/>
      <c r="KS65" s="29"/>
      <c r="KT65" s="29"/>
      <c r="KU65" s="29"/>
      <c r="KV65" s="29"/>
      <c r="KW65" s="29"/>
      <c r="KX65" s="29"/>
      <c r="KY65" s="29"/>
      <c r="KZ65" s="29"/>
      <c r="LA65" s="29"/>
      <c r="LB65" s="29"/>
      <c r="LC65" s="29"/>
      <c r="LD65" s="29"/>
      <c r="LE65" s="29"/>
      <c r="LF65" s="29"/>
      <c r="LG65" s="29"/>
      <c r="LH65" s="29"/>
      <c r="LI65" s="29"/>
      <c r="LJ65" s="29"/>
      <c r="LK65" s="29"/>
      <c r="LL65" s="29"/>
      <c r="LM65" s="29"/>
      <c r="LN65" s="29"/>
      <c r="LO65" s="29"/>
      <c r="LP65" s="29"/>
      <c r="LQ65" s="29"/>
      <c r="LR65" s="29"/>
      <c r="LS65" s="29"/>
      <c r="LT65" s="29"/>
      <c r="LU65" s="29"/>
      <c r="LV65" s="29"/>
      <c r="LW65" s="29"/>
      <c r="LX65" s="29"/>
      <c r="LY65" s="29"/>
      <c r="LZ65" s="29"/>
      <c r="MA65" s="29"/>
      <c r="MB65" s="29"/>
      <c r="MC65" s="29"/>
      <c r="MD65" s="29"/>
      <c r="ME65" s="29"/>
      <c r="MF65" s="29"/>
      <c r="MG65" s="29"/>
      <c r="MH65" s="29"/>
      <c r="MI65" s="29"/>
      <c r="MJ65" s="29"/>
      <c r="MK65" s="29"/>
      <c r="ML65" s="29"/>
      <c r="MM65" s="29"/>
      <c r="MN65" s="29"/>
      <c r="MO65" s="29"/>
      <c r="MP65" s="29"/>
      <c r="MQ65" s="29"/>
      <c r="MR65" s="29"/>
      <c r="MS65" s="29"/>
      <c r="MT65" s="29"/>
      <c r="MU65" s="29"/>
      <c r="MV65" s="29"/>
      <c r="MW65" s="29"/>
      <c r="MX65" s="29"/>
      <c r="MY65" s="29"/>
      <c r="MZ65" s="29"/>
      <c r="NA65" s="29"/>
      <c r="NB65" s="29"/>
      <c r="NC65" s="29"/>
      <c r="ND65" s="29"/>
      <c r="NE65" s="29"/>
      <c r="NF65" s="29"/>
      <c r="NG65" s="29"/>
      <c r="NH65" s="29"/>
      <c r="NI65" s="29"/>
      <c r="NJ65" s="29"/>
      <c r="NK65" s="29"/>
      <c r="NL65" s="29"/>
      <c r="NM65" s="29"/>
      <c r="NN65" s="29"/>
      <c r="NO65" s="29"/>
      <c r="NP65" s="29"/>
      <c r="NQ65" s="29"/>
      <c r="NR65" s="29"/>
      <c r="NS65" s="29"/>
      <c r="NT65" s="29"/>
      <c r="NU65" s="29"/>
      <c r="NV65" s="29"/>
      <c r="NW65" s="29"/>
      <c r="NX65" s="29"/>
      <c r="NY65" s="29"/>
      <c r="NZ65" s="29"/>
      <c r="OA65" s="29"/>
      <c r="OB65" s="29"/>
      <c r="OC65" s="29"/>
      <c r="OD65" s="29"/>
      <c r="OE65" s="29"/>
      <c r="OF65" s="29"/>
      <c r="OG65" s="29"/>
      <c r="OH65" s="29"/>
      <c r="OI65" s="29"/>
      <c r="OJ65" s="29"/>
      <c r="OK65" s="29"/>
      <c r="OL65" s="29"/>
      <c r="OM65" s="29"/>
      <c r="ON65" s="29"/>
      <c r="OO65" s="29"/>
      <c r="OP65" s="29"/>
      <c r="OQ65" s="29"/>
      <c r="OR65" s="29"/>
      <c r="OS65" s="29"/>
      <c r="OT65" s="29"/>
      <c r="OU65" s="29"/>
      <c r="OV65" s="29"/>
      <c r="OW65" s="29"/>
      <c r="OX65" s="29"/>
      <c r="OY65" s="29"/>
      <c r="OZ65" s="29"/>
      <c r="PA65" s="29"/>
      <c r="PB65" s="29"/>
      <c r="PC65" s="29"/>
      <c r="PD65" s="29"/>
      <c r="PE65" s="29"/>
      <c r="PF65" s="29"/>
      <c r="PG65" s="29"/>
      <c r="PH65" s="29"/>
      <c r="PI65" s="29"/>
      <c r="PJ65" s="29"/>
      <c r="PK65" s="29"/>
      <c r="PL65" s="29"/>
      <c r="PM65" s="29"/>
      <c r="PN65" s="29"/>
      <c r="PO65" s="29"/>
      <c r="PP65" s="29"/>
      <c r="PQ65" s="29"/>
      <c r="PR65" s="29"/>
      <c r="PS65" s="29"/>
      <c r="PT65" s="29"/>
      <c r="PU65" s="29"/>
      <c r="PV65" s="29"/>
      <c r="PW65" s="29"/>
      <c r="PX65" s="29"/>
      <c r="PY65" s="29"/>
      <c r="PZ65" s="29"/>
      <c r="QA65" s="29"/>
      <c r="QB65" s="29"/>
      <c r="QC65" s="29"/>
      <c r="QD65" s="29"/>
      <c r="QE65" s="29"/>
      <c r="QF65" s="29"/>
      <c r="QG65" s="29"/>
      <c r="QH65" s="29"/>
      <c r="QI65" s="29"/>
      <c r="QJ65" s="29"/>
      <c r="QK65" s="29"/>
      <c r="QL65" s="29"/>
      <c r="QM65" s="29"/>
      <c r="QN65" s="29"/>
      <c r="QO65" s="29"/>
      <c r="QP65" s="29"/>
      <c r="QQ65" s="29"/>
      <c r="QR65" s="29"/>
      <c r="QS65" s="29"/>
      <c r="QT65" s="29"/>
      <c r="QU65" s="29"/>
      <c r="QV65" s="29"/>
      <c r="QW65" s="29"/>
      <c r="QX65" s="29"/>
      <c r="QY65" s="29"/>
      <c r="QZ65" s="29"/>
      <c r="RA65" s="29"/>
      <c r="RB65" s="29"/>
      <c r="RC65" s="29"/>
      <c r="RD65" s="29"/>
      <c r="RE65" s="29"/>
      <c r="RF65" s="29"/>
      <c r="RG65" s="29"/>
      <c r="RH65" s="29"/>
      <c r="RI65" s="29"/>
      <c r="RJ65" s="29"/>
      <c r="RK65" s="29"/>
      <c r="RL65" s="29"/>
      <c r="RM65" s="29"/>
      <c r="RN65" s="29"/>
      <c r="RO65" s="29"/>
      <c r="RP65" s="29"/>
      <c r="RQ65" s="29"/>
      <c r="RR65" s="29"/>
      <c r="RS65" s="29"/>
      <c r="RT65" s="29"/>
      <c r="RU65" s="29"/>
      <c r="RV65" s="29"/>
      <c r="RW65" s="29"/>
      <c r="RX65" s="29"/>
      <c r="RY65" s="29"/>
      <c r="RZ65" s="29"/>
      <c r="SA65" s="29"/>
      <c r="SB65" s="29"/>
      <c r="SC65" s="29"/>
      <c r="SD65" s="29"/>
      <c r="SE65" s="29"/>
      <c r="SF65" s="29"/>
      <c r="SG65" s="29"/>
      <c r="SH65" s="29"/>
      <c r="SI65" s="29"/>
      <c r="SJ65" s="29"/>
      <c r="SK65" s="29"/>
      <c r="SL65" s="29"/>
      <c r="SM65" s="29"/>
      <c r="SN65" s="29"/>
      <c r="SO65" s="29"/>
      <c r="SP65" s="29"/>
      <c r="SQ65" s="29"/>
      <c r="SR65" s="29"/>
      <c r="SS65" s="29"/>
      <c r="ST65" s="29"/>
      <c r="SU65" s="29"/>
      <c r="SV65" s="29"/>
      <c r="SW65" s="29"/>
      <c r="SX65" s="29"/>
      <c r="SY65" s="29"/>
      <c r="SZ65" s="29"/>
      <c r="TA65" s="29"/>
      <c r="TB65" s="29"/>
      <c r="TC65" s="29"/>
      <c r="TD65" s="29"/>
      <c r="TE65" s="29"/>
      <c r="TF65" s="29"/>
      <c r="TG65" s="29"/>
      <c r="TH65" s="29"/>
      <c r="TI65" s="29"/>
      <c r="TJ65" s="29"/>
      <c r="TK65" s="29"/>
      <c r="TL65" s="29"/>
      <c r="TM65" s="29"/>
      <c r="TN65" s="29"/>
      <c r="TO65" s="29"/>
      <c r="TP65" s="29"/>
      <c r="TQ65" s="29"/>
      <c r="TR65" s="29"/>
      <c r="TS65" s="29"/>
      <c r="TT65" s="29"/>
      <c r="TU65" s="29"/>
      <c r="TV65" s="29"/>
      <c r="TW65" s="29"/>
      <c r="TX65" s="29"/>
      <c r="TY65" s="29"/>
      <c r="TZ65" s="29"/>
      <c r="UA65" s="29"/>
      <c r="UB65" s="29"/>
      <c r="UC65" s="29"/>
      <c r="UD65" s="29"/>
      <c r="UE65" s="29"/>
      <c r="UF65" s="29"/>
      <c r="UG65" s="29"/>
      <c r="UH65" s="29"/>
      <c r="UI65" s="29"/>
      <c r="UJ65" s="29"/>
      <c r="UK65" s="29"/>
      <c r="UL65" s="29"/>
      <c r="UM65" s="29"/>
      <c r="UN65" s="29"/>
      <c r="UO65" s="29"/>
      <c r="UP65" s="29"/>
      <c r="UQ65" s="29"/>
      <c r="UR65" s="29"/>
      <c r="US65" s="29"/>
      <c r="UT65" s="29"/>
      <c r="UU65" s="29"/>
      <c r="UV65" s="29"/>
      <c r="UW65" s="29"/>
      <c r="UX65" s="29"/>
      <c r="UY65" s="29"/>
      <c r="UZ65" s="29"/>
      <c r="VA65" s="29"/>
      <c r="VB65" s="29"/>
      <c r="VC65" s="29"/>
      <c r="VD65" s="29"/>
      <c r="VE65" s="29"/>
      <c r="VF65" s="29"/>
      <c r="VG65" s="29"/>
      <c r="VH65" s="29"/>
      <c r="VI65" s="29"/>
      <c r="VJ65" s="29"/>
      <c r="VK65" s="29"/>
      <c r="VL65" s="29"/>
      <c r="VM65" s="29"/>
      <c r="VN65" s="29"/>
      <c r="VO65" s="29"/>
      <c r="VP65" s="29"/>
      <c r="VQ65" s="29"/>
      <c r="VR65" s="29"/>
      <c r="VS65" s="29"/>
      <c r="VT65" s="29"/>
      <c r="VU65" s="29"/>
      <c r="VV65" s="29"/>
      <c r="VW65" s="29"/>
      <c r="VX65" s="29"/>
      <c r="VY65" s="29"/>
      <c r="VZ65" s="29"/>
      <c r="WA65" s="29"/>
      <c r="WB65" s="29"/>
    </row>
    <row r="66" spans="1:600" ht="35.1" customHeight="1" x14ac:dyDescent="0.3">
      <c r="H66" s="1"/>
    </row>
    <row r="67" spans="1:600" ht="35.1" customHeight="1" x14ac:dyDescent="0.3">
      <c r="H67" s="1"/>
    </row>
    <row r="68" spans="1:600" ht="35.1" customHeight="1" x14ac:dyDescent="0.3">
      <c r="H68" s="1"/>
    </row>
    <row r="69" spans="1:600" ht="35.1" customHeight="1" x14ac:dyDescent="0.3">
      <c r="H69" s="1"/>
    </row>
    <row r="70" spans="1:600" ht="35.1" customHeight="1" x14ac:dyDescent="0.3">
      <c r="B70" s="4" t="s">
        <v>28</v>
      </c>
      <c r="F70" s="4" t="s">
        <v>29</v>
      </c>
      <c r="H70" s="1"/>
    </row>
    <row r="71" spans="1:600" ht="35.1" customHeight="1" x14ac:dyDescent="0.3">
      <c r="H71" s="1"/>
    </row>
    <row r="72" spans="1:600" ht="35.1" customHeight="1" x14ac:dyDescent="0.3">
      <c r="H72" s="1"/>
    </row>
    <row r="73" spans="1:600" ht="35.1" customHeight="1" x14ac:dyDescent="0.3">
      <c r="H73" s="1"/>
    </row>
    <row r="74" spans="1:600" ht="35.1" customHeight="1" x14ac:dyDescent="0.3">
      <c r="H74" s="1"/>
    </row>
    <row r="75" spans="1:600" ht="35.1" customHeight="1" x14ac:dyDescent="0.3">
      <c r="B75" s="4" t="s">
        <v>30</v>
      </c>
      <c r="F75" s="4" t="s">
        <v>31</v>
      </c>
      <c r="H75" s="1"/>
    </row>
    <row r="76" spans="1:600" ht="35.1" customHeight="1" x14ac:dyDescent="0.3">
      <c r="H76" s="1"/>
    </row>
    <row r="77" spans="1:600" ht="35.1" customHeight="1" x14ac:dyDescent="0.3">
      <c r="H77" s="1"/>
    </row>
    <row r="78" spans="1:600" ht="35.1" customHeight="1" x14ac:dyDescent="0.3">
      <c r="H78" s="1"/>
    </row>
    <row r="79" spans="1:600" ht="35.1" customHeight="1" x14ac:dyDescent="0.3">
      <c r="H79" s="1"/>
    </row>
    <row r="80" spans="1:600" ht="35.1" customHeight="1" x14ac:dyDescent="0.3">
      <c r="B80" s="4" t="s">
        <v>32</v>
      </c>
      <c r="F80" s="4" t="s">
        <v>33</v>
      </c>
      <c r="H80" s="1"/>
    </row>
    <row r="81" spans="2:58" ht="35.1" customHeight="1" x14ac:dyDescent="0.3">
      <c r="H81" s="1"/>
    </row>
    <row r="82" spans="2:58" ht="35.1" customHeight="1" x14ac:dyDescent="0.3">
      <c r="H82" s="1"/>
    </row>
    <row r="83" spans="2:58" ht="35.1" customHeight="1" x14ac:dyDescent="0.3">
      <c r="H83" s="1"/>
    </row>
    <row r="84" spans="2:58" ht="35.1" customHeight="1" x14ac:dyDescent="0.3">
      <c r="H84" s="1"/>
    </row>
    <row r="85" spans="2:58" ht="35.1" customHeight="1" x14ac:dyDescent="0.3">
      <c r="B85" s="4" t="s">
        <v>34</v>
      </c>
      <c r="F85" s="4" t="s">
        <v>35</v>
      </c>
      <c r="H85" s="1"/>
    </row>
    <row r="86" spans="2:58" ht="35.1" customHeight="1" x14ac:dyDescent="0.3">
      <c r="H86" s="1"/>
    </row>
    <row r="87" spans="2:58" ht="35.1" customHeight="1" x14ac:dyDescent="0.3">
      <c r="H87" s="1"/>
    </row>
    <row r="88" spans="2:58" ht="35.1" customHeight="1" x14ac:dyDescent="0.3">
      <c r="H88" s="1"/>
    </row>
    <row r="89" spans="2:58" ht="35.1" customHeight="1" x14ac:dyDescent="0.3">
      <c r="H89" s="1"/>
    </row>
    <row r="90" spans="2:58" ht="35.1" customHeight="1" x14ac:dyDescent="0.3">
      <c r="B90" s="4" t="s">
        <v>36</v>
      </c>
      <c r="F90" s="4" t="s">
        <v>37</v>
      </c>
      <c r="H90" s="1"/>
    </row>
    <row r="91" spans="2:58" ht="35.1" customHeight="1" x14ac:dyDescent="0.3">
      <c r="H91" s="1"/>
    </row>
    <row r="92" spans="2:58" ht="35.1" customHeight="1" x14ac:dyDescent="0.3">
      <c r="H92" s="1"/>
    </row>
    <row r="93" spans="2:58" ht="35.1" customHeight="1" x14ac:dyDescent="0.3">
      <c r="H93" s="1"/>
    </row>
    <row r="94" spans="2:58" ht="79.2" customHeight="1" x14ac:dyDescent="0.3">
      <c r="H94" s="1"/>
      <c r="I94" s="28"/>
      <c r="J94" s="28"/>
      <c r="K94" s="28"/>
      <c r="L94" s="28"/>
      <c r="M94" s="28"/>
      <c r="N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</row>
    <row r="95" spans="2:58" ht="79.2" customHeight="1" x14ac:dyDescent="0.3">
      <c r="B95" s="4" t="s">
        <v>38</v>
      </c>
      <c r="H95" s="1"/>
      <c r="I95" s="28"/>
      <c r="J95" s="28"/>
      <c r="K95" s="28"/>
      <c r="L95" s="28"/>
      <c r="M95" s="28"/>
      <c r="N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</row>
    <row r="96" spans="2:58" ht="35.1" customHeight="1" x14ac:dyDescent="0.3">
      <c r="H96" s="1"/>
    </row>
    <row r="97" spans="8:70" ht="35.1" customHeight="1" x14ac:dyDescent="0.3">
      <c r="H97" s="1"/>
    </row>
    <row r="98" spans="8:70" ht="35.1" customHeight="1" x14ac:dyDescent="0.3">
      <c r="H98" s="1"/>
    </row>
    <row r="99" spans="8:70" ht="35.1" customHeight="1" x14ac:dyDescent="0.3">
      <c r="H99" s="1"/>
    </row>
    <row r="100" spans="8:70" ht="35.1" customHeight="1" x14ac:dyDescent="0.3">
      <c r="H100" s="1"/>
    </row>
    <row r="101" spans="8:70" ht="35.1" customHeight="1" x14ac:dyDescent="0.3">
      <c r="H101" s="1"/>
    </row>
    <row r="102" spans="8:70" ht="35.1" customHeight="1" x14ac:dyDescent="0.3">
      <c r="H102" s="1"/>
    </row>
    <row r="103" spans="8:70" ht="35.1" customHeight="1" x14ac:dyDescent="0.3">
      <c r="H103" s="1"/>
    </row>
    <row r="104" spans="8:70" ht="132.6" customHeight="1" x14ac:dyDescent="1.05">
      <c r="H104" s="1"/>
      <c r="T104" s="58" t="s">
        <v>50</v>
      </c>
      <c r="U104" s="59"/>
      <c r="X104" s="58" t="s">
        <v>66</v>
      </c>
      <c r="Y104" s="59"/>
      <c r="AB104" s="58" t="s">
        <v>67</v>
      </c>
      <c r="AC104" s="59"/>
      <c r="AF104" s="58" t="s">
        <v>46</v>
      </c>
      <c r="AG104" s="59"/>
      <c r="AJ104" s="58" t="s">
        <v>45</v>
      </c>
      <c r="AK104" s="59"/>
    </row>
    <row r="105" spans="8:70" ht="120" customHeight="1" x14ac:dyDescent="0.3">
      <c r="H105" s="1"/>
      <c r="T105" s="60" t="s">
        <v>39</v>
      </c>
      <c r="U105" s="61" t="s">
        <v>116</v>
      </c>
      <c r="X105" s="60" t="s">
        <v>39</v>
      </c>
      <c r="Y105" s="61" t="s">
        <v>96</v>
      </c>
      <c r="AB105" s="60" t="s">
        <v>39</v>
      </c>
      <c r="AC105" s="61" t="s">
        <v>98</v>
      </c>
      <c r="AF105" s="60" t="s">
        <v>39</v>
      </c>
      <c r="AG105" s="61" t="s">
        <v>100</v>
      </c>
      <c r="AJ105" s="60" t="s">
        <v>39</v>
      </c>
      <c r="AK105" s="61" t="s">
        <v>109</v>
      </c>
    </row>
    <row r="106" spans="8:70" ht="120" customHeight="1" x14ac:dyDescent="0.3">
      <c r="H106" s="1"/>
      <c r="T106" s="60" t="s">
        <v>40</v>
      </c>
      <c r="U106" s="61" t="s">
        <v>117</v>
      </c>
      <c r="X106" s="60" t="s">
        <v>40</v>
      </c>
      <c r="Y106" s="61" t="s">
        <v>97</v>
      </c>
      <c r="AB106" s="60" t="s">
        <v>40</v>
      </c>
      <c r="AC106" s="61" t="s">
        <v>99</v>
      </c>
      <c r="AF106" s="60" t="s">
        <v>40</v>
      </c>
      <c r="AG106" s="61" t="s">
        <v>101</v>
      </c>
      <c r="AJ106" s="60" t="s">
        <v>40</v>
      </c>
      <c r="AK106" s="61" t="s">
        <v>110</v>
      </c>
    </row>
    <row r="107" spans="8:70" ht="120" customHeight="1" x14ac:dyDescent="0.3">
      <c r="H107" s="1"/>
      <c r="I107" s="28"/>
      <c r="J107" s="28"/>
      <c r="K107" s="28"/>
      <c r="L107" s="28"/>
      <c r="M107" s="28"/>
      <c r="P107" s="28"/>
      <c r="Q107" s="28"/>
      <c r="R107" s="28"/>
      <c r="T107" s="60" t="s">
        <v>41</v>
      </c>
      <c r="U107" s="61" t="s">
        <v>44</v>
      </c>
      <c r="X107" s="60" t="s">
        <v>41</v>
      </c>
      <c r="Y107" s="61" t="s">
        <v>44</v>
      </c>
      <c r="AB107" s="60" t="s">
        <v>41</v>
      </c>
      <c r="AC107" s="61" t="s">
        <v>44</v>
      </c>
      <c r="AF107" s="60" t="s">
        <v>41</v>
      </c>
      <c r="AG107" s="61" t="s">
        <v>44</v>
      </c>
      <c r="AJ107" s="60" t="s">
        <v>41</v>
      </c>
      <c r="AK107" s="61" t="s">
        <v>44</v>
      </c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</row>
    <row r="108" spans="8:70" ht="120" customHeight="1" x14ac:dyDescent="0.3">
      <c r="H108" s="1"/>
      <c r="I108" s="28"/>
      <c r="J108" s="28"/>
      <c r="K108" s="28"/>
      <c r="L108" s="28"/>
      <c r="M108" s="28"/>
      <c r="P108" s="28"/>
      <c r="Q108" s="28"/>
      <c r="R108" s="28"/>
      <c r="T108" s="60" t="s">
        <v>42</v>
      </c>
      <c r="U108" s="61" t="s">
        <v>95</v>
      </c>
      <c r="X108" s="60" t="s">
        <v>42</v>
      </c>
      <c r="Y108" s="61" t="s">
        <v>95</v>
      </c>
      <c r="AB108" s="60" t="s">
        <v>42</v>
      </c>
      <c r="AC108" s="61" t="s">
        <v>95</v>
      </c>
      <c r="AF108" s="60" t="s">
        <v>42</v>
      </c>
      <c r="AG108" s="61" t="s">
        <v>95</v>
      </c>
      <c r="AJ108" s="60" t="s">
        <v>42</v>
      </c>
      <c r="AK108" s="61" t="s">
        <v>95</v>
      </c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</row>
    <row r="109" spans="8:70" ht="120" customHeight="1" x14ac:dyDescent="0.3">
      <c r="H109" s="1"/>
      <c r="T109" s="60" t="s">
        <v>43</v>
      </c>
      <c r="U109" s="61" t="s">
        <v>95</v>
      </c>
      <c r="X109" s="60" t="s">
        <v>43</v>
      </c>
      <c r="Y109" s="61" t="s">
        <v>95</v>
      </c>
      <c r="AB109" s="60" t="s">
        <v>43</v>
      </c>
      <c r="AC109" s="61" t="s">
        <v>95</v>
      </c>
      <c r="AF109" s="60" t="s">
        <v>43</v>
      </c>
      <c r="AG109" s="61" t="s">
        <v>95</v>
      </c>
      <c r="AJ109" s="60" t="s">
        <v>43</v>
      </c>
      <c r="AK109" s="61" t="s">
        <v>118</v>
      </c>
    </row>
    <row r="110" spans="8:70" ht="35.1" customHeight="1" x14ac:dyDescent="0.3">
      <c r="H110" s="1"/>
    </row>
    <row r="111" spans="8:70" ht="35.1" customHeight="1" x14ac:dyDescent="0.3">
      <c r="H111" s="1"/>
    </row>
    <row r="112" spans="8:70" ht="34.799999999999997" customHeight="1" x14ac:dyDescent="0.3">
      <c r="H112" s="1"/>
    </row>
    <row r="113" spans="8:64" ht="70.2" customHeight="1" x14ac:dyDescent="0.3">
      <c r="H113" s="1"/>
    </row>
    <row r="114" spans="8:64" ht="142.80000000000001" customHeight="1" thickBot="1" x14ac:dyDescent="0.35">
      <c r="H114" s="1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70">
        <v>3352</v>
      </c>
      <c r="W114" s="71"/>
      <c r="X114" s="50"/>
      <c r="Y114" s="50"/>
      <c r="Z114" s="70">
        <v>8520</v>
      </c>
      <c r="AA114" s="71"/>
      <c r="AB114" s="50"/>
      <c r="AC114" s="50"/>
      <c r="AD114" s="70">
        <v>17080</v>
      </c>
      <c r="AE114" s="71"/>
      <c r="AF114" s="50"/>
      <c r="AG114" s="50"/>
      <c r="AH114" s="70">
        <v>57960</v>
      </c>
      <c r="AI114" s="71"/>
      <c r="AJ114" s="50"/>
      <c r="AK114" s="50"/>
      <c r="AL114" s="55"/>
      <c r="AM114" s="55"/>
      <c r="AN114" s="55"/>
      <c r="AO114" s="57"/>
      <c r="AP114" s="62" t="s">
        <v>90</v>
      </c>
      <c r="AQ114" s="63" t="s">
        <v>125</v>
      </c>
      <c r="AR114" s="64" t="s">
        <v>130</v>
      </c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</row>
    <row r="115" spans="8:64" ht="132" customHeight="1" thickBot="1" x14ac:dyDescent="1.1000000000000001">
      <c r="H115" s="1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68">
        <v>1.77</v>
      </c>
      <c r="U115" s="69"/>
      <c r="V115" s="50"/>
      <c r="W115" s="53"/>
      <c r="X115" s="68">
        <v>4.1900000000000004</v>
      </c>
      <c r="Y115" s="69"/>
      <c r="Z115" s="50"/>
      <c r="AA115" s="53"/>
      <c r="AB115" s="68">
        <v>4.26</v>
      </c>
      <c r="AC115" s="69"/>
      <c r="AD115" s="50"/>
      <c r="AE115" s="53"/>
      <c r="AF115" s="68">
        <v>8.5399999999999991</v>
      </c>
      <c r="AG115" s="69"/>
      <c r="AH115" s="50"/>
      <c r="AI115" s="53"/>
      <c r="AJ115" s="68">
        <v>14.49</v>
      </c>
      <c r="AK115" s="69"/>
      <c r="AL115" s="51"/>
      <c r="AM115" s="51"/>
      <c r="AN115" s="51"/>
      <c r="AO115" s="50"/>
      <c r="AP115" s="65" t="s">
        <v>91</v>
      </c>
      <c r="AQ115" s="66" t="s">
        <v>126</v>
      </c>
      <c r="AR115" s="67" t="s">
        <v>127</v>
      </c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</row>
    <row r="116" spans="8:64" ht="35.1" customHeight="1" x14ac:dyDescent="0.3">
      <c r="H116" s="1"/>
    </row>
    <row r="117" spans="8:64" ht="35.1" customHeight="1" x14ac:dyDescent="0.3">
      <c r="H117" s="1"/>
    </row>
    <row r="118" spans="8:64" ht="35.1" customHeight="1" x14ac:dyDescent="0.3">
      <c r="H118" s="1"/>
    </row>
    <row r="119" spans="8:64" ht="35.1" customHeight="1" x14ac:dyDescent="0.3">
      <c r="H119" s="1"/>
    </row>
    <row r="120" spans="8:64" ht="35.1" customHeight="1" x14ac:dyDescent="0.3">
      <c r="H120" s="1"/>
    </row>
    <row r="121" spans="8:64" ht="35.1" customHeight="1" x14ac:dyDescent="0.3">
      <c r="H121" s="1"/>
    </row>
    <row r="122" spans="8:64" ht="35.1" customHeight="1" x14ac:dyDescent="0.3">
      <c r="H122" s="1"/>
    </row>
    <row r="123" spans="8:64" ht="35.1" customHeight="1" x14ac:dyDescent="0.3">
      <c r="H123" s="1"/>
    </row>
    <row r="124" spans="8:64" ht="35.1" customHeight="1" x14ac:dyDescent="0.3">
      <c r="H124" s="1"/>
    </row>
    <row r="125" spans="8:64" ht="35.1" customHeight="1" x14ac:dyDescent="0.3">
      <c r="H125" s="1"/>
    </row>
    <row r="126" spans="8:64" ht="35.1" customHeight="1" x14ac:dyDescent="0.3">
      <c r="H126" s="1"/>
    </row>
    <row r="127" spans="8:64" ht="35.1" customHeight="1" x14ac:dyDescent="0.3">
      <c r="H127" s="1"/>
    </row>
    <row r="128" spans="8:64" ht="35.1" customHeight="1" x14ac:dyDescent="0.3">
      <c r="H128" s="1"/>
    </row>
    <row r="129" spans="1:600" ht="35.1" customHeight="1" x14ac:dyDescent="0.3">
      <c r="H129" s="1"/>
    </row>
    <row r="130" spans="1:600" ht="35.1" customHeight="1" x14ac:dyDescent="0.3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29"/>
      <c r="BX130" s="29"/>
      <c r="BY130" s="29"/>
      <c r="BZ130" s="29"/>
      <c r="CA130" s="29"/>
      <c r="CB130" s="29"/>
      <c r="CC130" s="29"/>
      <c r="CD130" s="29"/>
      <c r="CE130" s="29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  <c r="DO130" s="29"/>
      <c r="DP130" s="29"/>
      <c r="DQ130" s="29"/>
      <c r="DR130" s="29"/>
      <c r="DS130" s="29"/>
      <c r="DT130" s="29"/>
      <c r="DU130" s="29"/>
      <c r="DV130" s="29"/>
      <c r="DW130" s="29"/>
      <c r="DX130" s="29"/>
      <c r="DY130" s="29"/>
      <c r="DZ130" s="29"/>
      <c r="EA130" s="29"/>
      <c r="EB130" s="29"/>
      <c r="EC130" s="29"/>
      <c r="ED130" s="29"/>
      <c r="EE130" s="29"/>
      <c r="EF130" s="29"/>
      <c r="EG130" s="29"/>
      <c r="EH130" s="29"/>
      <c r="EI130" s="29"/>
      <c r="EJ130" s="29"/>
      <c r="EK130" s="29"/>
      <c r="EL130" s="29"/>
      <c r="EM130" s="29"/>
      <c r="EN130" s="29"/>
      <c r="EO130" s="29"/>
      <c r="EP130" s="29"/>
      <c r="EQ130" s="29"/>
      <c r="ER130" s="29"/>
      <c r="ES130" s="29"/>
      <c r="ET130" s="29"/>
      <c r="EU130" s="29"/>
      <c r="EV130" s="29"/>
      <c r="EW130" s="29"/>
      <c r="EX130" s="29"/>
      <c r="EY130" s="29"/>
      <c r="EZ130" s="29"/>
      <c r="FA130" s="29"/>
      <c r="FB130" s="29"/>
      <c r="FC130" s="29"/>
      <c r="FD130" s="29"/>
      <c r="FE130" s="29"/>
      <c r="FF130" s="29"/>
      <c r="FG130" s="29"/>
      <c r="FH130" s="29"/>
      <c r="FI130" s="29"/>
      <c r="FJ130" s="29"/>
      <c r="FK130" s="29"/>
      <c r="FL130" s="29"/>
      <c r="FM130" s="29"/>
      <c r="FN130" s="29"/>
      <c r="FO130" s="29"/>
      <c r="FP130" s="29"/>
      <c r="FQ130" s="29"/>
      <c r="FR130" s="29"/>
      <c r="FS130" s="29"/>
      <c r="FT130" s="29"/>
      <c r="FU130" s="29"/>
      <c r="FV130" s="29"/>
      <c r="FW130" s="29"/>
      <c r="FX130" s="29"/>
      <c r="FY130" s="29"/>
      <c r="FZ130" s="29"/>
      <c r="GA130" s="29"/>
      <c r="GB130" s="29"/>
      <c r="GC130" s="29"/>
      <c r="GD130" s="29"/>
      <c r="GE130" s="29"/>
      <c r="GF130" s="29"/>
      <c r="GG130" s="29"/>
      <c r="GH130" s="29"/>
      <c r="GI130" s="29"/>
      <c r="GJ130" s="29"/>
      <c r="GK130" s="29"/>
      <c r="GL130" s="29"/>
      <c r="GM130" s="29"/>
      <c r="GN130" s="29"/>
      <c r="GO130" s="29"/>
      <c r="GP130" s="29"/>
      <c r="GQ130" s="29"/>
      <c r="GR130" s="29"/>
      <c r="GS130" s="29"/>
      <c r="GT130" s="29"/>
      <c r="GU130" s="29"/>
      <c r="GV130" s="29"/>
      <c r="GW130" s="29"/>
      <c r="GX130" s="29"/>
      <c r="GY130" s="29"/>
      <c r="GZ130" s="29"/>
      <c r="HA130" s="29"/>
      <c r="HB130" s="29"/>
      <c r="HC130" s="29"/>
      <c r="HD130" s="29"/>
      <c r="HE130" s="29"/>
      <c r="HF130" s="29"/>
      <c r="HG130" s="29"/>
      <c r="HH130" s="29"/>
      <c r="HI130" s="29"/>
      <c r="HJ130" s="29"/>
      <c r="HK130" s="29"/>
      <c r="HL130" s="29"/>
      <c r="HM130" s="29"/>
      <c r="HN130" s="29"/>
      <c r="HO130" s="29"/>
      <c r="HP130" s="29"/>
      <c r="HQ130" s="29"/>
      <c r="HR130" s="29"/>
      <c r="HS130" s="29"/>
      <c r="HT130" s="29"/>
      <c r="HU130" s="29"/>
      <c r="HV130" s="29"/>
      <c r="HW130" s="29"/>
      <c r="HX130" s="29"/>
      <c r="HY130" s="29"/>
      <c r="HZ130" s="29"/>
      <c r="IA130" s="29"/>
      <c r="IB130" s="29"/>
      <c r="IC130" s="29"/>
      <c r="ID130" s="29"/>
      <c r="IE130" s="29"/>
      <c r="IF130" s="29"/>
      <c r="IG130" s="29"/>
      <c r="IH130" s="29"/>
      <c r="II130" s="29"/>
      <c r="IJ130" s="29"/>
      <c r="IK130" s="29"/>
      <c r="IL130" s="29"/>
      <c r="IM130" s="29"/>
      <c r="IN130" s="29"/>
      <c r="IO130" s="29"/>
      <c r="IP130" s="29"/>
      <c r="IQ130" s="29"/>
      <c r="IR130" s="29"/>
      <c r="IS130" s="29"/>
      <c r="IT130" s="29"/>
      <c r="IU130" s="29"/>
      <c r="IV130" s="29"/>
      <c r="IW130" s="29"/>
      <c r="IX130" s="29"/>
      <c r="IY130" s="29"/>
      <c r="IZ130" s="29"/>
      <c r="JA130" s="29"/>
      <c r="JB130" s="29"/>
      <c r="JC130" s="29"/>
      <c r="JD130" s="29"/>
      <c r="JE130" s="29"/>
      <c r="JF130" s="29"/>
      <c r="JG130" s="29"/>
      <c r="JH130" s="29"/>
      <c r="JI130" s="29"/>
      <c r="JJ130" s="29"/>
      <c r="JK130" s="29"/>
      <c r="JL130" s="29"/>
      <c r="JM130" s="29"/>
      <c r="JN130" s="29"/>
      <c r="JO130" s="29"/>
      <c r="JP130" s="29"/>
      <c r="JQ130" s="29"/>
      <c r="JR130" s="29"/>
      <c r="JS130" s="29"/>
      <c r="JT130" s="29"/>
      <c r="JU130" s="29"/>
      <c r="JV130" s="29"/>
      <c r="JW130" s="29"/>
      <c r="JX130" s="29"/>
      <c r="JY130" s="29"/>
      <c r="JZ130" s="29"/>
      <c r="KA130" s="29"/>
      <c r="KB130" s="29"/>
      <c r="KC130" s="29"/>
      <c r="KD130" s="29"/>
      <c r="KE130" s="29"/>
      <c r="KF130" s="29"/>
      <c r="KG130" s="29"/>
      <c r="KH130" s="29"/>
      <c r="KI130" s="29"/>
      <c r="KJ130" s="29"/>
      <c r="KK130" s="29"/>
      <c r="KL130" s="29"/>
      <c r="KM130" s="29"/>
      <c r="KN130" s="29"/>
      <c r="KO130" s="29"/>
      <c r="KP130" s="29"/>
      <c r="KQ130" s="29"/>
      <c r="KR130" s="29"/>
      <c r="KS130" s="29"/>
      <c r="KT130" s="29"/>
      <c r="KU130" s="29"/>
      <c r="KV130" s="29"/>
      <c r="KW130" s="29"/>
      <c r="KX130" s="29"/>
      <c r="KY130" s="29"/>
      <c r="KZ130" s="29"/>
      <c r="LA130" s="29"/>
      <c r="LB130" s="29"/>
      <c r="LC130" s="29"/>
      <c r="LD130" s="29"/>
      <c r="LE130" s="29"/>
      <c r="LF130" s="29"/>
      <c r="LG130" s="29"/>
      <c r="LH130" s="29"/>
      <c r="LI130" s="29"/>
      <c r="LJ130" s="29"/>
      <c r="LK130" s="29"/>
      <c r="LL130" s="29"/>
      <c r="LM130" s="29"/>
      <c r="LN130" s="29"/>
      <c r="LO130" s="29"/>
      <c r="LP130" s="29"/>
      <c r="LQ130" s="29"/>
      <c r="LR130" s="29"/>
      <c r="LS130" s="29"/>
      <c r="LT130" s="29"/>
      <c r="LU130" s="29"/>
      <c r="LV130" s="29"/>
      <c r="LW130" s="29"/>
      <c r="LX130" s="29"/>
      <c r="LY130" s="29"/>
      <c r="LZ130" s="29"/>
      <c r="MA130" s="29"/>
      <c r="MB130" s="29"/>
      <c r="MC130" s="29"/>
      <c r="MD130" s="29"/>
      <c r="ME130" s="29"/>
      <c r="MF130" s="29"/>
      <c r="MG130" s="29"/>
      <c r="MH130" s="29"/>
      <c r="MI130" s="29"/>
      <c r="MJ130" s="29"/>
      <c r="MK130" s="29"/>
      <c r="ML130" s="29"/>
      <c r="MM130" s="29"/>
      <c r="MN130" s="29"/>
      <c r="MO130" s="29"/>
      <c r="MP130" s="29"/>
      <c r="MQ130" s="29"/>
      <c r="MR130" s="29"/>
      <c r="MS130" s="29"/>
      <c r="MT130" s="29"/>
      <c r="MU130" s="29"/>
      <c r="MV130" s="29"/>
      <c r="MW130" s="29"/>
      <c r="MX130" s="29"/>
      <c r="MY130" s="29"/>
      <c r="MZ130" s="29"/>
      <c r="NA130" s="29"/>
      <c r="NB130" s="29"/>
      <c r="NC130" s="29"/>
      <c r="ND130" s="29"/>
      <c r="NE130" s="29"/>
      <c r="NF130" s="29"/>
      <c r="NG130" s="29"/>
      <c r="NH130" s="29"/>
      <c r="NI130" s="29"/>
      <c r="NJ130" s="29"/>
      <c r="NK130" s="29"/>
      <c r="NL130" s="29"/>
      <c r="NM130" s="29"/>
      <c r="NN130" s="29"/>
      <c r="NO130" s="29"/>
      <c r="NP130" s="29"/>
      <c r="NQ130" s="29"/>
      <c r="NR130" s="29"/>
      <c r="NS130" s="29"/>
      <c r="NT130" s="29"/>
      <c r="NU130" s="29"/>
      <c r="NV130" s="29"/>
      <c r="NW130" s="29"/>
      <c r="NX130" s="29"/>
      <c r="NY130" s="29"/>
      <c r="NZ130" s="29"/>
      <c r="OA130" s="29"/>
      <c r="OB130" s="29"/>
      <c r="OC130" s="29"/>
      <c r="OD130" s="29"/>
      <c r="OE130" s="29"/>
      <c r="OF130" s="29"/>
      <c r="OG130" s="29"/>
      <c r="OH130" s="29"/>
      <c r="OI130" s="29"/>
      <c r="OJ130" s="29"/>
      <c r="OK130" s="29"/>
      <c r="OL130" s="29"/>
      <c r="OM130" s="29"/>
      <c r="ON130" s="29"/>
      <c r="OO130" s="29"/>
      <c r="OP130" s="29"/>
      <c r="OQ130" s="29"/>
      <c r="OR130" s="29"/>
      <c r="OS130" s="29"/>
      <c r="OT130" s="29"/>
      <c r="OU130" s="29"/>
      <c r="OV130" s="29"/>
      <c r="OW130" s="29"/>
      <c r="OX130" s="29"/>
      <c r="OY130" s="29"/>
      <c r="OZ130" s="29"/>
      <c r="PA130" s="29"/>
      <c r="PB130" s="29"/>
      <c r="PC130" s="29"/>
      <c r="PD130" s="29"/>
      <c r="PE130" s="29"/>
      <c r="PF130" s="29"/>
      <c r="PG130" s="29"/>
      <c r="PH130" s="29"/>
      <c r="PI130" s="29"/>
      <c r="PJ130" s="29"/>
      <c r="PK130" s="29"/>
      <c r="PL130" s="29"/>
      <c r="PM130" s="29"/>
      <c r="PN130" s="29"/>
      <c r="PO130" s="29"/>
      <c r="PP130" s="29"/>
      <c r="PQ130" s="29"/>
      <c r="PR130" s="29"/>
      <c r="PS130" s="29"/>
      <c r="PT130" s="29"/>
      <c r="PU130" s="29"/>
      <c r="PV130" s="29"/>
      <c r="PW130" s="29"/>
      <c r="PX130" s="29"/>
      <c r="PY130" s="29"/>
      <c r="PZ130" s="29"/>
      <c r="QA130" s="29"/>
      <c r="QB130" s="29"/>
      <c r="QC130" s="29"/>
      <c r="QD130" s="29"/>
      <c r="QE130" s="29"/>
      <c r="QF130" s="29"/>
      <c r="QG130" s="29"/>
      <c r="QH130" s="29"/>
      <c r="QI130" s="29"/>
      <c r="QJ130" s="29"/>
      <c r="QK130" s="29"/>
      <c r="QL130" s="29"/>
      <c r="QM130" s="29"/>
      <c r="QN130" s="29"/>
      <c r="QO130" s="29"/>
      <c r="QP130" s="29"/>
      <c r="QQ130" s="29"/>
      <c r="QR130" s="29"/>
      <c r="QS130" s="29"/>
      <c r="QT130" s="29"/>
      <c r="QU130" s="29"/>
      <c r="QV130" s="29"/>
      <c r="QW130" s="29"/>
      <c r="QX130" s="29"/>
      <c r="QY130" s="29"/>
      <c r="QZ130" s="29"/>
      <c r="RA130" s="29"/>
      <c r="RB130" s="29"/>
      <c r="RC130" s="29"/>
      <c r="RD130" s="29"/>
      <c r="RE130" s="29"/>
      <c r="RF130" s="29"/>
      <c r="RG130" s="29"/>
      <c r="RH130" s="29"/>
      <c r="RI130" s="29"/>
      <c r="RJ130" s="29"/>
      <c r="RK130" s="29"/>
      <c r="RL130" s="29"/>
      <c r="RM130" s="29"/>
      <c r="RN130" s="29"/>
      <c r="RO130" s="29"/>
      <c r="RP130" s="29"/>
      <c r="RQ130" s="29"/>
      <c r="RR130" s="29"/>
      <c r="RS130" s="29"/>
      <c r="RT130" s="29"/>
      <c r="RU130" s="29"/>
      <c r="RV130" s="29"/>
      <c r="RW130" s="29"/>
      <c r="RX130" s="29"/>
      <c r="RY130" s="29"/>
      <c r="RZ130" s="29"/>
      <c r="SA130" s="29"/>
      <c r="SB130" s="29"/>
      <c r="SC130" s="29"/>
      <c r="SD130" s="29"/>
      <c r="SE130" s="29"/>
      <c r="SF130" s="29"/>
      <c r="SG130" s="29"/>
      <c r="SH130" s="29"/>
      <c r="SI130" s="29"/>
      <c r="SJ130" s="29"/>
      <c r="SK130" s="29"/>
      <c r="SL130" s="29"/>
      <c r="SM130" s="29"/>
      <c r="SN130" s="29"/>
      <c r="SO130" s="29"/>
      <c r="SP130" s="29"/>
      <c r="SQ130" s="29"/>
      <c r="SR130" s="29"/>
      <c r="SS130" s="29"/>
      <c r="ST130" s="29"/>
      <c r="SU130" s="29"/>
      <c r="SV130" s="29"/>
      <c r="SW130" s="29"/>
      <c r="SX130" s="29"/>
      <c r="SY130" s="29"/>
      <c r="SZ130" s="29"/>
      <c r="TA130" s="29"/>
      <c r="TB130" s="29"/>
      <c r="TC130" s="29"/>
      <c r="TD130" s="29"/>
      <c r="TE130" s="29"/>
      <c r="TF130" s="29"/>
      <c r="TG130" s="29"/>
      <c r="TH130" s="29"/>
      <c r="TI130" s="29"/>
      <c r="TJ130" s="29"/>
      <c r="TK130" s="29"/>
      <c r="TL130" s="29"/>
      <c r="TM130" s="29"/>
      <c r="TN130" s="29"/>
      <c r="TO130" s="29"/>
      <c r="TP130" s="29"/>
      <c r="TQ130" s="29"/>
      <c r="TR130" s="29"/>
      <c r="TS130" s="29"/>
      <c r="TT130" s="29"/>
      <c r="TU130" s="29"/>
      <c r="TV130" s="29"/>
      <c r="TW130" s="29"/>
      <c r="TX130" s="29"/>
      <c r="TY130" s="29"/>
      <c r="TZ130" s="29"/>
      <c r="UA130" s="29"/>
      <c r="UB130" s="29"/>
      <c r="UC130" s="29"/>
      <c r="UD130" s="29"/>
      <c r="UE130" s="29"/>
      <c r="UF130" s="29"/>
      <c r="UG130" s="29"/>
      <c r="UH130" s="29"/>
      <c r="UI130" s="29"/>
      <c r="UJ130" s="29"/>
      <c r="UK130" s="29"/>
      <c r="UL130" s="29"/>
      <c r="UM130" s="29"/>
      <c r="UN130" s="29"/>
      <c r="UO130" s="29"/>
      <c r="UP130" s="29"/>
      <c r="UQ130" s="29"/>
      <c r="UR130" s="29"/>
      <c r="US130" s="29"/>
      <c r="UT130" s="29"/>
      <c r="UU130" s="29"/>
      <c r="UV130" s="29"/>
      <c r="UW130" s="29"/>
      <c r="UX130" s="29"/>
      <c r="UY130" s="29"/>
      <c r="UZ130" s="29"/>
      <c r="VA130" s="29"/>
      <c r="VB130" s="29"/>
      <c r="VC130" s="29"/>
      <c r="VD130" s="29"/>
      <c r="VE130" s="29"/>
      <c r="VF130" s="29"/>
      <c r="VG130" s="29"/>
      <c r="VH130" s="29"/>
      <c r="VI130" s="29"/>
      <c r="VJ130" s="29"/>
      <c r="VK130" s="29"/>
      <c r="VL130" s="29"/>
      <c r="VM130" s="29"/>
      <c r="VN130" s="29"/>
      <c r="VO130" s="29"/>
      <c r="VP130" s="29"/>
      <c r="VQ130" s="29"/>
      <c r="VR130" s="29"/>
      <c r="VS130" s="29"/>
      <c r="VT130" s="29"/>
      <c r="VU130" s="29"/>
      <c r="VV130" s="29"/>
      <c r="VW130" s="29"/>
      <c r="VX130" s="29"/>
      <c r="VY130" s="29"/>
      <c r="VZ130" s="29"/>
      <c r="WA130" s="29"/>
      <c r="WB130" s="29"/>
    </row>
    <row r="131" spans="1:600" ht="35.1" customHeight="1" x14ac:dyDescent="0.3">
      <c r="H131" s="1"/>
    </row>
    <row r="132" spans="1:600" ht="35.1" customHeight="1" x14ac:dyDescent="0.3">
      <c r="H132" s="1"/>
    </row>
    <row r="133" spans="1:600" ht="35.1" customHeight="1" x14ac:dyDescent="0.3">
      <c r="H133" s="1"/>
    </row>
    <row r="134" spans="1:600" ht="35.1" customHeight="1" x14ac:dyDescent="0.3">
      <c r="H134" s="1"/>
    </row>
    <row r="135" spans="1:600" ht="35.1" customHeight="1" x14ac:dyDescent="0.3">
      <c r="H135" s="1"/>
    </row>
    <row r="136" spans="1:600" ht="35.1" customHeight="1" x14ac:dyDescent="0.3">
      <c r="H136" s="1"/>
    </row>
    <row r="137" spans="1:600" ht="35.1" customHeight="1" x14ac:dyDescent="0.3">
      <c r="H137" s="1"/>
    </row>
    <row r="138" spans="1:600" ht="35.1" customHeight="1" x14ac:dyDescent="0.3">
      <c r="H138" s="1"/>
    </row>
    <row r="139" spans="1:600" ht="35.1" customHeight="1" x14ac:dyDescent="0.3">
      <c r="H139" s="1"/>
      <c r="BJ139" s="3"/>
      <c r="BK139" s="3"/>
      <c r="BL139" s="3"/>
      <c r="BM139" s="3"/>
      <c r="BN139" s="3"/>
      <c r="BO139" s="3"/>
      <c r="BP139" s="3"/>
      <c r="BQ139" s="3"/>
      <c r="BR139" s="3"/>
      <c r="BS139" s="3"/>
    </row>
    <row r="140" spans="1:600" ht="35.1" customHeight="1" x14ac:dyDescent="0.3">
      <c r="H140" s="1"/>
      <c r="BJ140" s="3"/>
      <c r="BK140" s="3"/>
      <c r="BL140" s="3"/>
      <c r="BM140" s="3"/>
      <c r="BN140" s="3"/>
      <c r="BO140" s="3"/>
      <c r="BP140" s="3"/>
      <c r="BQ140" s="3"/>
      <c r="BR140" s="3"/>
      <c r="BS140" s="3"/>
    </row>
    <row r="141" spans="1:600" ht="35.1" customHeight="1" x14ac:dyDescent="0.3">
      <c r="H141" s="1"/>
      <c r="BJ141" s="31"/>
      <c r="BK141" s="3"/>
      <c r="BL141" s="3"/>
      <c r="BM141" s="3"/>
      <c r="BN141" s="3"/>
      <c r="BO141" s="3"/>
      <c r="BP141" s="3"/>
      <c r="BQ141" s="3"/>
      <c r="BR141" s="3"/>
      <c r="BS141" s="3"/>
    </row>
    <row r="142" spans="1:600" ht="35.1" customHeight="1" x14ac:dyDescent="0.3">
      <c r="H142" s="1"/>
      <c r="BJ142" s="31"/>
      <c r="BK142" s="32"/>
      <c r="BL142" s="3"/>
      <c r="BM142" s="3"/>
      <c r="BN142" s="3"/>
      <c r="BO142" s="3"/>
      <c r="BP142" s="3"/>
      <c r="BQ142" s="3"/>
      <c r="BR142" s="3"/>
      <c r="BS142" s="3"/>
    </row>
    <row r="143" spans="1:600" ht="35.1" customHeight="1" x14ac:dyDescent="0.3">
      <c r="H143" s="1"/>
      <c r="BJ143" s="31"/>
      <c r="BK143" s="32"/>
      <c r="BL143" s="3"/>
      <c r="BM143" s="3"/>
      <c r="BN143" s="3"/>
      <c r="BO143" s="3"/>
      <c r="BP143" s="3"/>
      <c r="BQ143" s="3"/>
      <c r="BR143" s="3"/>
      <c r="BS143" s="3"/>
    </row>
    <row r="144" spans="1:600" ht="35.1" customHeight="1" x14ac:dyDescent="0.3">
      <c r="H144" s="1"/>
      <c r="BJ144" s="31"/>
      <c r="BK144" s="32"/>
      <c r="BL144" s="3"/>
      <c r="BM144" s="3"/>
      <c r="BN144" s="3"/>
      <c r="BO144" s="3"/>
      <c r="BP144" s="3"/>
      <c r="BQ144" s="3"/>
      <c r="BR144" s="3"/>
      <c r="BS144" s="3"/>
    </row>
    <row r="145" spans="8:90" ht="35.1" customHeight="1" x14ac:dyDescent="0.3">
      <c r="H145" s="1"/>
      <c r="BJ145" s="31"/>
      <c r="BK145" s="32"/>
      <c r="BL145" s="3"/>
      <c r="BM145" s="3"/>
      <c r="BN145" s="3"/>
      <c r="BO145" s="3"/>
      <c r="BP145" s="3"/>
      <c r="BQ145" s="3"/>
      <c r="BR145" s="3"/>
      <c r="BS145" s="3"/>
    </row>
    <row r="146" spans="8:90" ht="35.1" customHeight="1" x14ac:dyDescent="0.3">
      <c r="H146" s="1"/>
      <c r="BJ146" s="31"/>
      <c r="BK146" s="32"/>
      <c r="BL146" s="3"/>
      <c r="BM146" s="3"/>
      <c r="BN146" s="3"/>
      <c r="BO146" s="3"/>
      <c r="BP146" s="3"/>
      <c r="BQ146" s="3"/>
      <c r="BR146" s="3"/>
      <c r="BS146" s="3"/>
    </row>
    <row r="147" spans="8:90" ht="35.1" customHeight="1" x14ac:dyDescent="0.3">
      <c r="H147" s="1"/>
      <c r="BJ147" s="31"/>
      <c r="BK147" s="32"/>
      <c r="BL147" s="3"/>
      <c r="BM147" s="3"/>
      <c r="BN147" s="3"/>
      <c r="BO147" s="3"/>
      <c r="BP147" s="3"/>
      <c r="BQ147" s="3"/>
      <c r="BR147" s="3"/>
      <c r="BS147" s="3"/>
    </row>
    <row r="148" spans="8:90" ht="35.1" customHeight="1" x14ac:dyDescent="0.3">
      <c r="H148" s="1"/>
      <c r="BJ148" s="3"/>
      <c r="BK148" s="3"/>
      <c r="BL148" s="3"/>
      <c r="BM148" s="3"/>
      <c r="BN148" s="3"/>
      <c r="BO148" s="3"/>
      <c r="BP148" s="3"/>
      <c r="BQ148" s="3"/>
      <c r="BR148" s="3"/>
      <c r="BS148" s="3"/>
    </row>
    <row r="149" spans="8:90" ht="35.1" customHeight="1" x14ac:dyDescent="0.3">
      <c r="H149" s="1"/>
      <c r="BJ149" s="3"/>
      <c r="BK149" s="3"/>
      <c r="BL149" s="3"/>
      <c r="BM149" s="3"/>
      <c r="BN149" s="3"/>
      <c r="BO149" s="3"/>
      <c r="BP149" s="3"/>
      <c r="BQ149" s="3"/>
      <c r="BR149" s="3"/>
      <c r="BS149" s="3"/>
    </row>
    <row r="150" spans="8:90" ht="35.1" customHeight="1" x14ac:dyDescent="0.3">
      <c r="H150" s="1"/>
      <c r="BJ150" s="3"/>
      <c r="BK150" s="3"/>
      <c r="BL150" s="3"/>
      <c r="BM150" s="3"/>
      <c r="BN150" s="3"/>
      <c r="BO150" s="3"/>
      <c r="BP150" s="3"/>
      <c r="BQ150" s="3"/>
      <c r="BR150" s="3"/>
      <c r="BS150" s="3"/>
    </row>
    <row r="151" spans="8:90" ht="35.1" customHeight="1" x14ac:dyDescent="0.3">
      <c r="H151" s="1"/>
      <c r="BJ151" s="3"/>
      <c r="BK151" s="3"/>
      <c r="BL151" s="3"/>
      <c r="BM151" s="3"/>
      <c r="BN151" s="3"/>
      <c r="BO151" s="3"/>
      <c r="BP151" s="3"/>
      <c r="BQ151" s="3"/>
      <c r="BR151" s="3"/>
      <c r="BS151" s="3"/>
    </row>
    <row r="152" spans="8:90" ht="79.2" customHeight="1" x14ac:dyDescent="0.3">
      <c r="H152" s="1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BJ152" s="33"/>
      <c r="BK152" s="33"/>
      <c r="BL152" s="33"/>
      <c r="BM152" s="33"/>
      <c r="BN152" s="33"/>
      <c r="BO152" s="33"/>
      <c r="BP152" s="34"/>
      <c r="BQ152" s="35"/>
      <c r="BR152" s="36"/>
      <c r="BS152" s="33"/>
      <c r="BT152" s="28"/>
      <c r="BU152" s="28"/>
      <c r="BV152" s="28"/>
      <c r="BW152" s="28"/>
      <c r="BX152" s="28"/>
      <c r="BY152" s="28"/>
      <c r="BZ152" s="28"/>
      <c r="CA152" s="28"/>
      <c r="CB152" s="28"/>
      <c r="CC152" s="28"/>
      <c r="CD152" s="28"/>
      <c r="CE152" s="28"/>
      <c r="CF152" s="28"/>
      <c r="CG152" s="28"/>
      <c r="CH152" s="28"/>
      <c r="CI152" s="28"/>
      <c r="CJ152" s="28"/>
      <c r="CK152" s="28"/>
      <c r="CL152" s="28"/>
    </row>
    <row r="153" spans="8:90" ht="79.2" customHeight="1" x14ac:dyDescent="0.85">
      <c r="H153" s="1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BJ153" s="40"/>
      <c r="BK153" s="41"/>
      <c r="BL153" s="33"/>
      <c r="BM153" s="33"/>
      <c r="BN153" s="33"/>
      <c r="BO153" s="33"/>
      <c r="BP153" s="34"/>
      <c r="BQ153" s="35"/>
      <c r="BR153" s="37"/>
      <c r="BS153" s="33"/>
      <c r="BT153" s="28"/>
      <c r="BU153" s="28"/>
      <c r="BV153" s="28"/>
      <c r="BW153" s="28"/>
      <c r="BX153" s="28"/>
      <c r="BY153" s="28"/>
      <c r="BZ153" s="28"/>
      <c r="CA153" s="28"/>
      <c r="CB153" s="28"/>
      <c r="CC153" s="28"/>
      <c r="CD153" s="28"/>
      <c r="CE153" s="28"/>
      <c r="CF153" s="28"/>
      <c r="CG153" s="28"/>
      <c r="CH153" s="28"/>
      <c r="CI153" s="28"/>
      <c r="CJ153" s="28"/>
      <c r="CK153" s="28"/>
      <c r="CL153" s="28"/>
    </row>
    <row r="154" spans="8:90" ht="35.1" customHeight="1" x14ac:dyDescent="0.3">
      <c r="H154" s="1"/>
      <c r="BJ154" s="3"/>
      <c r="BK154" s="3"/>
      <c r="BL154" s="3"/>
      <c r="BM154" s="3"/>
      <c r="BN154" s="3"/>
      <c r="BO154" s="3"/>
      <c r="BP154" s="3"/>
      <c r="BQ154" s="3"/>
      <c r="BR154" s="3"/>
      <c r="BS154" s="3"/>
    </row>
    <row r="155" spans="8:90" ht="35.1" customHeight="1" x14ac:dyDescent="0.3">
      <c r="H155" s="1"/>
      <c r="BJ155" s="3"/>
      <c r="BK155" s="3"/>
      <c r="BL155" s="3"/>
      <c r="BM155" s="3"/>
      <c r="BN155" s="3"/>
      <c r="BO155" s="3"/>
      <c r="BP155" s="3"/>
      <c r="BQ155" s="3"/>
      <c r="BR155" s="3"/>
      <c r="BS155" s="3"/>
    </row>
    <row r="156" spans="8:90" ht="35.1" customHeight="1" x14ac:dyDescent="0.3">
      <c r="H156" s="1"/>
      <c r="BJ156" s="3"/>
      <c r="BK156" s="3"/>
      <c r="BL156" s="3"/>
      <c r="BM156" s="3"/>
      <c r="BN156" s="3"/>
      <c r="BO156" s="3"/>
      <c r="BP156" s="3"/>
      <c r="BQ156" s="3"/>
      <c r="BR156" s="3"/>
      <c r="BS156" s="3"/>
    </row>
    <row r="157" spans="8:90" ht="35.1" customHeight="1" x14ac:dyDescent="0.3">
      <c r="H157" s="1"/>
      <c r="BJ157" s="3"/>
      <c r="BK157" s="3"/>
      <c r="BL157" s="3"/>
      <c r="BM157" s="3"/>
      <c r="BN157" s="3"/>
      <c r="BO157" s="3"/>
      <c r="BP157" s="3"/>
      <c r="BQ157" s="3"/>
      <c r="BR157" s="3"/>
      <c r="BS157" s="3"/>
    </row>
    <row r="158" spans="8:90" ht="35.1" customHeight="1" x14ac:dyDescent="0.3">
      <c r="H158" s="1"/>
      <c r="BJ158" s="3"/>
      <c r="BK158" s="3"/>
      <c r="BL158" s="3"/>
      <c r="BM158" s="3"/>
      <c r="BN158" s="3"/>
      <c r="BO158" s="3"/>
      <c r="BP158" s="3"/>
      <c r="BQ158" s="3"/>
      <c r="BR158" s="3"/>
      <c r="BS158" s="3"/>
    </row>
    <row r="159" spans="8:90" ht="120" customHeight="1" x14ac:dyDescent="1.05">
      <c r="H159" s="1"/>
      <c r="T159" s="58" t="s">
        <v>79</v>
      </c>
      <c r="U159" s="59"/>
      <c r="X159" s="58" t="s">
        <v>81</v>
      </c>
      <c r="Y159" s="59"/>
      <c r="AB159" s="58" t="s">
        <v>123</v>
      </c>
      <c r="AC159" s="59"/>
      <c r="AF159" s="58" t="s">
        <v>72</v>
      </c>
      <c r="AG159" s="59"/>
      <c r="AJ159" s="58" t="s">
        <v>124</v>
      </c>
      <c r="AK159" s="59"/>
      <c r="BJ159" s="3"/>
      <c r="BK159" s="3"/>
      <c r="BL159" s="3"/>
      <c r="BM159" s="3"/>
      <c r="BN159" s="3"/>
      <c r="BO159" s="3"/>
      <c r="BP159" s="3"/>
      <c r="BQ159" s="3"/>
      <c r="BR159" s="3"/>
      <c r="BS159" s="3"/>
    </row>
    <row r="160" spans="8:90" ht="120" customHeight="1" x14ac:dyDescent="0.3">
      <c r="H160" s="1"/>
      <c r="T160" s="60" t="s">
        <v>39</v>
      </c>
      <c r="U160" s="61" t="s">
        <v>102</v>
      </c>
      <c r="X160" s="60" t="s">
        <v>39</v>
      </c>
      <c r="Y160" s="61" t="s">
        <v>116</v>
      </c>
      <c r="AB160" s="60" t="s">
        <v>39</v>
      </c>
      <c r="AC160" s="61" t="s">
        <v>96</v>
      </c>
      <c r="AF160" s="60" t="s">
        <v>39</v>
      </c>
      <c r="AG160" s="61" t="s">
        <v>98</v>
      </c>
      <c r="AJ160" s="60" t="s">
        <v>39</v>
      </c>
      <c r="AK160" s="61" t="s">
        <v>109</v>
      </c>
      <c r="BJ160" s="3"/>
      <c r="BK160" s="3"/>
      <c r="BL160" s="3"/>
      <c r="BM160" s="3"/>
      <c r="BN160" s="3"/>
      <c r="BO160" s="3"/>
      <c r="BP160" s="3"/>
      <c r="BQ160" s="3"/>
      <c r="BR160" s="3"/>
      <c r="BS160" s="3"/>
    </row>
    <row r="161" spans="8:72" ht="120" customHeight="1" x14ac:dyDescent="0.3">
      <c r="H161" s="1"/>
      <c r="T161" s="60" t="s">
        <v>40</v>
      </c>
      <c r="U161" s="61" t="s">
        <v>103</v>
      </c>
      <c r="X161" s="60" t="s">
        <v>40</v>
      </c>
      <c r="Y161" s="61" t="s">
        <v>117</v>
      </c>
      <c r="AB161" s="60" t="s">
        <v>40</v>
      </c>
      <c r="AC161" s="61" t="s">
        <v>97</v>
      </c>
      <c r="AF161" s="60" t="s">
        <v>40</v>
      </c>
      <c r="AG161" s="61" t="s">
        <v>99</v>
      </c>
      <c r="AJ161" s="60" t="s">
        <v>40</v>
      </c>
      <c r="AK161" s="61" t="s">
        <v>110</v>
      </c>
    </row>
    <row r="162" spans="8:72" ht="120" customHeight="1" x14ac:dyDescent="0.3">
      <c r="H162" s="1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T162" s="60" t="s">
        <v>41</v>
      </c>
      <c r="U162" s="61" t="s">
        <v>104</v>
      </c>
      <c r="X162" s="60" t="s">
        <v>41</v>
      </c>
      <c r="Y162" s="61" t="s">
        <v>44</v>
      </c>
      <c r="AB162" s="60" t="s">
        <v>41</v>
      </c>
      <c r="AC162" s="61" t="s">
        <v>44</v>
      </c>
      <c r="AF162" s="60" t="s">
        <v>41</v>
      </c>
      <c r="AG162" s="61" t="s">
        <v>44</v>
      </c>
      <c r="AJ162" s="60" t="s">
        <v>41</v>
      </c>
      <c r="AK162" s="61" t="s">
        <v>44</v>
      </c>
      <c r="BJ162" s="28"/>
      <c r="BK162" s="28"/>
      <c r="BL162" s="28"/>
      <c r="BM162" s="28"/>
      <c r="BN162" s="28"/>
      <c r="BO162" s="28"/>
      <c r="BP162" s="28"/>
      <c r="BQ162" s="28"/>
      <c r="BR162" s="28"/>
      <c r="BS162" s="28"/>
      <c r="BT162" s="28"/>
    </row>
    <row r="163" spans="8:72" ht="120" customHeight="1" x14ac:dyDescent="0.3">
      <c r="H163" s="1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T163" s="60" t="s">
        <v>42</v>
      </c>
      <c r="U163" s="61" t="s">
        <v>95</v>
      </c>
      <c r="X163" s="60" t="s">
        <v>42</v>
      </c>
      <c r="Y163" s="61" t="s">
        <v>95</v>
      </c>
      <c r="AB163" s="60" t="s">
        <v>42</v>
      </c>
      <c r="AC163" s="61" t="s">
        <v>95</v>
      </c>
      <c r="AF163" s="60" t="s">
        <v>42</v>
      </c>
      <c r="AG163" s="61" t="s">
        <v>95</v>
      </c>
      <c r="AJ163" s="60" t="s">
        <v>42</v>
      </c>
      <c r="AK163" s="61" t="s">
        <v>95</v>
      </c>
      <c r="BJ163" s="28"/>
      <c r="BK163" s="28"/>
      <c r="BL163" s="28"/>
      <c r="BM163" s="28"/>
      <c r="BN163" s="28"/>
      <c r="BO163" s="28"/>
      <c r="BP163" s="28"/>
      <c r="BQ163" s="28"/>
      <c r="BR163" s="28"/>
      <c r="BS163" s="28"/>
      <c r="BT163" s="28"/>
    </row>
    <row r="164" spans="8:72" ht="120" customHeight="1" x14ac:dyDescent="0.3">
      <c r="H164" s="1"/>
      <c r="T164" s="60" t="s">
        <v>43</v>
      </c>
      <c r="U164" s="61" t="s">
        <v>95</v>
      </c>
      <c r="X164" s="60" t="s">
        <v>43</v>
      </c>
      <c r="Y164" s="61" t="s">
        <v>95</v>
      </c>
      <c r="AB164" s="60" t="s">
        <v>43</v>
      </c>
      <c r="AC164" s="61" t="s">
        <v>95</v>
      </c>
      <c r="AF164" s="60" t="s">
        <v>43</v>
      </c>
      <c r="AG164" s="61" t="s">
        <v>95</v>
      </c>
      <c r="AJ164" s="60" t="s">
        <v>43</v>
      </c>
      <c r="AK164" s="61" t="s">
        <v>118</v>
      </c>
    </row>
    <row r="165" spans="8:72" ht="35.1" customHeight="1" x14ac:dyDescent="0.3">
      <c r="H165" s="1"/>
    </row>
    <row r="166" spans="8:72" ht="34.799999999999997" customHeight="1" x14ac:dyDescent="0.3">
      <c r="H166" s="1"/>
    </row>
    <row r="167" spans="8:72" ht="35.1" customHeight="1" x14ac:dyDescent="0.3">
      <c r="H167" s="1"/>
    </row>
    <row r="168" spans="8:72" ht="35.1" customHeight="1" x14ac:dyDescent="0.3">
      <c r="H168" s="1"/>
    </row>
    <row r="169" spans="8:72" ht="103.8" customHeight="1" thickBot="1" x14ac:dyDescent="0.35">
      <c r="H169" s="1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70">
        <v>7080</v>
      </c>
      <c r="W169" s="71"/>
      <c r="X169" s="50"/>
      <c r="Y169" s="50"/>
      <c r="Z169" s="70">
        <v>3352</v>
      </c>
      <c r="AA169" s="71"/>
      <c r="AB169" s="50"/>
      <c r="AC169" s="50"/>
      <c r="AD169" s="70">
        <v>8520</v>
      </c>
      <c r="AE169" s="71"/>
      <c r="AF169" s="50"/>
      <c r="AG169" s="50"/>
      <c r="AH169" s="70">
        <v>57960</v>
      </c>
      <c r="AI169" s="71"/>
      <c r="AJ169" s="50"/>
      <c r="AK169" s="50"/>
      <c r="AL169" s="55"/>
      <c r="AM169" s="55"/>
      <c r="AN169" s="55"/>
      <c r="AO169" s="57"/>
      <c r="AP169" s="62" t="s">
        <v>90</v>
      </c>
      <c r="AQ169" s="63" t="s">
        <v>128</v>
      </c>
      <c r="AR169" s="64" t="s">
        <v>92</v>
      </c>
      <c r="AS169" s="50"/>
      <c r="AT169" s="52"/>
      <c r="AU169" s="52"/>
      <c r="AV169" s="52"/>
      <c r="AW169" s="50"/>
      <c r="AX169" s="50"/>
      <c r="AY169" s="50"/>
      <c r="AZ169" s="50"/>
      <c r="BA169" s="50"/>
      <c r="BB169" s="50"/>
      <c r="BC169" s="50"/>
      <c r="BD169" s="50"/>
      <c r="BE169" s="50"/>
      <c r="BF169" s="50"/>
      <c r="BG169" s="50"/>
      <c r="BH169" s="50"/>
      <c r="BI169" s="50"/>
      <c r="BJ169" s="50"/>
      <c r="BK169" s="50"/>
      <c r="BL169" s="50"/>
      <c r="BM169" s="50"/>
      <c r="BN169" s="50"/>
      <c r="BO169" s="50"/>
      <c r="BP169" s="50"/>
    </row>
    <row r="170" spans="8:72" ht="114.6" customHeight="1" thickBot="1" x14ac:dyDescent="1.1000000000000001">
      <c r="H170" s="1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68">
        <v>4.95</v>
      </c>
      <c r="U170" s="69"/>
      <c r="V170" s="50"/>
      <c r="W170" s="53"/>
      <c r="X170" s="68">
        <v>1.77</v>
      </c>
      <c r="Y170" s="69"/>
      <c r="Z170" s="50"/>
      <c r="AA170" s="53"/>
      <c r="AB170" s="68">
        <v>4.1900000000000004</v>
      </c>
      <c r="AC170" s="69"/>
      <c r="AD170" s="50"/>
      <c r="AE170" s="53"/>
      <c r="AF170" s="68">
        <v>4.26</v>
      </c>
      <c r="AG170" s="69"/>
      <c r="AH170" s="50"/>
      <c r="AI170" s="53"/>
      <c r="AJ170" s="68">
        <v>14.49</v>
      </c>
      <c r="AK170" s="69"/>
      <c r="AL170" s="51"/>
      <c r="AM170" s="51"/>
      <c r="AN170" s="51"/>
      <c r="AO170" s="51"/>
      <c r="AP170" s="65" t="s">
        <v>91</v>
      </c>
      <c r="AQ170" s="66" t="s">
        <v>129</v>
      </c>
      <c r="AR170" s="67" t="s">
        <v>127</v>
      </c>
      <c r="AS170" s="50"/>
      <c r="AT170" s="52"/>
      <c r="AU170" s="52"/>
      <c r="AV170" s="52"/>
      <c r="AW170" s="50"/>
      <c r="AX170" s="50"/>
      <c r="AY170" s="50"/>
      <c r="AZ170" s="50"/>
      <c r="BA170" s="50"/>
      <c r="BB170" s="50"/>
      <c r="BC170" s="50"/>
      <c r="BD170" s="50"/>
      <c r="BE170" s="50"/>
      <c r="BF170" s="50"/>
      <c r="BG170" s="50"/>
      <c r="BH170" s="50"/>
      <c r="BI170" s="50"/>
      <c r="BJ170" s="50"/>
      <c r="BK170" s="50"/>
      <c r="BL170" s="50"/>
      <c r="BM170" s="50"/>
      <c r="BN170" s="50"/>
      <c r="BO170" s="50"/>
      <c r="BP170" s="50"/>
    </row>
    <row r="171" spans="8:72" ht="35.1" customHeight="1" x14ac:dyDescent="0.3">
      <c r="H171" s="1"/>
    </row>
    <row r="172" spans="8:72" ht="35.1" customHeight="1" x14ac:dyDescent="0.3">
      <c r="H172" s="1"/>
    </row>
    <row r="173" spans="8:72" ht="35.1" customHeight="1" x14ac:dyDescent="0.3">
      <c r="H173" s="1"/>
    </row>
    <row r="174" spans="8:72" ht="35.1" customHeight="1" x14ac:dyDescent="0.3">
      <c r="H174" s="1"/>
    </row>
    <row r="175" spans="8:72" ht="35.1" customHeight="1" x14ac:dyDescent="0.3">
      <c r="H175" s="1"/>
    </row>
    <row r="176" spans="8:72" ht="35.1" customHeight="1" x14ac:dyDescent="0.3">
      <c r="H176" s="1"/>
    </row>
    <row r="177" spans="8:8" ht="35.1" customHeight="1" x14ac:dyDescent="0.3">
      <c r="H177" s="1"/>
    </row>
    <row r="178" spans="8:8" ht="35.1" customHeight="1" x14ac:dyDescent="0.3">
      <c r="H178" s="1"/>
    </row>
    <row r="179" spans="8:8" ht="35.1" customHeight="1" x14ac:dyDescent="0.3">
      <c r="H179" s="1"/>
    </row>
    <row r="180" spans="8:8" ht="35.1" customHeight="1" x14ac:dyDescent="0.3">
      <c r="H180" s="1"/>
    </row>
    <row r="181" spans="8:8" ht="35.1" customHeight="1" x14ac:dyDescent="0.3">
      <c r="H181" s="1"/>
    </row>
    <row r="182" spans="8:8" ht="35.1" customHeight="1" x14ac:dyDescent="0.3">
      <c r="H182" s="1"/>
    </row>
    <row r="183" spans="8:8" ht="35.1" customHeight="1" x14ac:dyDescent="0.3">
      <c r="H183" s="1"/>
    </row>
    <row r="184" spans="8:8" ht="35.1" customHeight="1" x14ac:dyDescent="0.3">
      <c r="H184" s="1"/>
    </row>
    <row r="185" spans="8:8" ht="35.1" customHeight="1" x14ac:dyDescent="0.3">
      <c r="H185" s="1"/>
    </row>
    <row r="186" spans="8:8" ht="35.1" customHeight="1" x14ac:dyDescent="0.3">
      <c r="H186" s="1"/>
    </row>
    <row r="187" spans="8:8" ht="35.1" customHeight="1" x14ac:dyDescent="0.3">
      <c r="H187" s="1"/>
    </row>
    <row r="188" spans="8:8" ht="35.1" customHeight="1" x14ac:dyDescent="0.3">
      <c r="H188" s="1"/>
    </row>
    <row r="189" spans="8:8" ht="35.1" customHeight="1" x14ac:dyDescent="0.3">
      <c r="H189" s="1"/>
    </row>
    <row r="190" spans="8:8" ht="35.1" customHeight="1" x14ac:dyDescent="0.3">
      <c r="H190" s="1"/>
    </row>
    <row r="191" spans="8:8" ht="35.1" customHeight="1" x14ac:dyDescent="0.3">
      <c r="H191" s="1"/>
    </row>
    <row r="192" spans="8:8" ht="35.1" customHeight="1" x14ac:dyDescent="0.3">
      <c r="H192" s="1"/>
    </row>
    <row r="193" spans="1:600" ht="35.1" customHeight="1" x14ac:dyDescent="0.3">
      <c r="H193" s="1"/>
    </row>
    <row r="194" spans="1:600" ht="35.1" customHeight="1" x14ac:dyDescent="0.3">
      <c r="H194" s="1"/>
    </row>
    <row r="195" spans="1:600" ht="35.1" customHeight="1" x14ac:dyDescent="0.3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29"/>
      <c r="BP195" s="2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/>
      <c r="CE195" s="29"/>
      <c r="CF195" s="29"/>
      <c r="CG195" s="29"/>
      <c r="CH195" s="29"/>
      <c r="CI195" s="29"/>
      <c r="CJ195" s="2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29"/>
      <c r="CY195" s="29"/>
      <c r="CZ195" s="29"/>
      <c r="DA195" s="29"/>
      <c r="DB195" s="29"/>
      <c r="DC195" s="29"/>
      <c r="DD195" s="29"/>
      <c r="DE195" s="29"/>
      <c r="DF195" s="29"/>
      <c r="DG195" s="29"/>
      <c r="DH195" s="29"/>
      <c r="DI195" s="29"/>
      <c r="DJ195" s="29"/>
      <c r="DK195" s="29"/>
      <c r="DL195" s="29"/>
      <c r="DM195" s="29"/>
      <c r="DN195" s="29"/>
      <c r="DO195" s="29"/>
      <c r="DP195" s="29"/>
      <c r="DQ195" s="29"/>
      <c r="DR195" s="29"/>
      <c r="DS195" s="29"/>
      <c r="DT195" s="29"/>
      <c r="DU195" s="29"/>
      <c r="DV195" s="29"/>
      <c r="DW195" s="29"/>
      <c r="DX195" s="29"/>
      <c r="DY195" s="29"/>
      <c r="DZ195" s="29"/>
      <c r="EA195" s="29"/>
      <c r="EB195" s="29"/>
      <c r="EC195" s="29"/>
      <c r="ED195" s="29"/>
      <c r="EE195" s="29"/>
      <c r="EF195" s="29"/>
      <c r="EG195" s="29"/>
      <c r="EH195" s="29"/>
      <c r="EI195" s="29"/>
      <c r="EJ195" s="29"/>
      <c r="EK195" s="29"/>
      <c r="EL195" s="29"/>
      <c r="EM195" s="29"/>
      <c r="EN195" s="29"/>
      <c r="EO195" s="29"/>
      <c r="EP195" s="29"/>
      <c r="EQ195" s="29"/>
      <c r="ER195" s="29"/>
      <c r="ES195" s="29"/>
      <c r="ET195" s="29"/>
      <c r="EU195" s="29"/>
      <c r="EV195" s="29"/>
      <c r="EW195" s="29"/>
      <c r="EX195" s="29"/>
      <c r="EY195" s="29"/>
      <c r="EZ195" s="29"/>
      <c r="FA195" s="29"/>
      <c r="FB195" s="29"/>
      <c r="FC195" s="29"/>
      <c r="FD195" s="29"/>
      <c r="FE195" s="29"/>
      <c r="FF195" s="29"/>
      <c r="FG195" s="29"/>
      <c r="FH195" s="29"/>
      <c r="FI195" s="29"/>
      <c r="FJ195" s="29"/>
      <c r="FK195" s="29"/>
      <c r="FL195" s="29"/>
      <c r="FM195" s="29"/>
      <c r="FN195" s="29"/>
      <c r="FO195" s="29"/>
      <c r="FP195" s="29"/>
      <c r="FQ195" s="29"/>
      <c r="FR195" s="29"/>
      <c r="FS195" s="29"/>
      <c r="FT195" s="29"/>
      <c r="FU195" s="29"/>
      <c r="FV195" s="29"/>
      <c r="FW195" s="29"/>
      <c r="FX195" s="29"/>
      <c r="FY195" s="29"/>
      <c r="FZ195" s="29"/>
      <c r="GA195" s="29"/>
      <c r="GB195" s="29"/>
      <c r="GC195" s="29"/>
      <c r="GD195" s="29"/>
      <c r="GE195" s="29"/>
      <c r="GF195" s="29"/>
      <c r="GG195" s="29"/>
      <c r="GH195" s="29"/>
      <c r="GI195" s="29"/>
      <c r="GJ195" s="29"/>
      <c r="GK195" s="29"/>
      <c r="GL195" s="29"/>
      <c r="GM195" s="29"/>
      <c r="GN195" s="29"/>
      <c r="GO195" s="29"/>
      <c r="GP195" s="29"/>
      <c r="GQ195" s="29"/>
      <c r="GR195" s="29"/>
      <c r="GS195" s="29"/>
      <c r="GT195" s="29"/>
      <c r="GU195" s="29"/>
      <c r="GV195" s="29"/>
      <c r="GW195" s="29"/>
      <c r="GX195" s="29"/>
      <c r="GY195" s="29"/>
      <c r="GZ195" s="29"/>
      <c r="HA195" s="29"/>
      <c r="HB195" s="29"/>
      <c r="HC195" s="29"/>
      <c r="HD195" s="29"/>
      <c r="HE195" s="29"/>
      <c r="HF195" s="29"/>
      <c r="HG195" s="29"/>
      <c r="HH195" s="29"/>
      <c r="HI195" s="29"/>
      <c r="HJ195" s="29"/>
      <c r="HK195" s="29"/>
      <c r="HL195" s="29"/>
      <c r="HM195" s="29"/>
      <c r="HN195" s="29"/>
      <c r="HO195" s="29"/>
      <c r="HP195" s="29"/>
      <c r="HQ195" s="29"/>
      <c r="HR195" s="29"/>
      <c r="HS195" s="29"/>
      <c r="HT195" s="29"/>
      <c r="HU195" s="29"/>
      <c r="HV195" s="29"/>
      <c r="HW195" s="29"/>
      <c r="HX195" s="29"/>
      <c r="HY195" s="29"/>
      <c r="HZ195" s="29"/>
      <c r="IA195" s="29"/>
      <c r="IB195" s="29"/>
      <c r="IC195" s="29"/>
      <c r="ID195" s="29"/>
      <c r="IE195" s="29"/>
      <c r="IF195" s="29"/>
      <c r="IG195" s="29"/>
      <c r="IH195" s="29"/>
      <c r="II195" s="29"/>
      <c r="IJ195" s="29"/>
      <c r="IK195" s="29"/>
      <c r="IL195" s="29"/>
      <c r="IM195" s="29"/>
      <c r="IN195" s="29"/>
      <c r="IO195" s="29"/>
      <c r="IP195" s="29"/>
      <c r="IQ195" s="29"/>
      <c r="IR195" s="29"/>
      <c r="IS195" s="29"/>
      <c r="IT195" s="29"/>
      <c r="IU195" s="29"/>
      <c r="IV195" s="29"/>
      <c r="IW195" s="29"/>
      <c r="IX195" s="29"/>
      <c r="IY195" s="29"/>
      <c r="IZ195" s="29"/>
      <c r="JA195" s="29"/>
      <c r="JB195" s="29"/>
      <c r="JC195" s="29"/>
      <c r="JD195" s="29"/>
      <c r="JE195" s="29"/>
      <c r="JF195" s="29"/>
      <c r="JG195" s="29"/>
      <c r="JH195" s="29"/>
      <c r="JI195" s="29"/>
      <c r="JJ195" s="29"/>
      <c r="JK195" s="29"/>
      <c r="JL195" s="29"/>
      <c r="JM195" s="29"/>
      <c r="JN195" s="29"/>
      <c r="JO195" s="29"/>
      <c r="JP195" s="29"/>
      <c r="JQ195" s="29"/>
      <c r="JR195" s="29"/>
      <c r="JS195" s="29"/>
      <c r="JT195" s="29"/>
      <c r="JU195" s="29"/>
      <c r="JV195" s="29"/>
      <c r="JW195" s="29"/>
      <c r="JX195" s="29"/>
      <c r="JY195" s="29"/>
      <c r="JZ195" s="29"/>
      <c r="KA195" s="29"/>
      <c r="KB195" s="29"/>
      <c r="KC195" s="29"/>
      <c r="KD195" s="29"/>
      <c r="KE195" s="29"/>
      <c r="KF195" s="29"/>
      <c r="KG195" s="29"/>
      <c r="KH195" s="29"/>
      <c r="KI195" s="29"/>
      <c r="KJ195" s="29"/>
      <c r="KK195" s="29"/>
      <c r="KL195" s="29"/>
      <c r="KM195" s="29"/>
      <c r="KN195" s="29"/>
      <c r="KO195" s="29"/>
      <c r="KP195" s="29"/>
      <c r="KQ195" s="29"/>
      <c r="KR195" s="29"/>
      <c r="KS195" s="29"/>
      <c r="KT195" s="29"/>
      <c r="KU195" s="29"/>
      <c r="KV195" s="29"/>
      <c r="KW195" s="29"/>
      <c r="KX195" s="29"/>
      <c r="KY195" s="29"/>
      <c r="KZ195" s="29"/>
      <c r="LA195" s="29"/>
      <c r="LB195" s="29"/>
      <c r="LC195" s="29"/>
      <c r="LD195" s="29"/>
      <c r="LE195" s="29"/>
      <c r="LF195" s="29"/>
      <c r="LG195" s="29"/>
      <c r="LH195" s="29"/>
      <c r="LI195" s="29"/>
      <c r="LJ195" s="29"/>
      <c r="LK195" s="29"/>
      <c r="LL195" s="29"/>
      <c r="LM195" s="29"/>
      <c r="LN195" s="29"/>
      <c r="LO195" s="29"/>
      <c r="LP195" s="29"/>
      <c r="LQ195" s="29"/>
      <c r="LR195" s="29"/>
      <c r="LS195" s="29"/>
      <c r="LT195" s="29"/>
      <c r="LU195" s="29"/>
      <c r="LV195" s="29"/>
      <c r="LW195" s="29"/>
      <c r="LX195" s="29"/>
      <c r="LY195" s="29"/>
      <c r="LZ195" s="29"/>
      <c r="MA195" s="29"/>
      <c r="MB195" s="29"/>
      <c r="MC195" s="29"/>
      <c r="MD195" s="29"/>
      <c r="ME195" s="29"/>
      <c r="MF195" s="29"/>
      <c r="MG195" s="29"/>
      <c r="MH195" s="29"/>
      <c r="MI195" s="29"/>
      <c r="MJ195" s="29"/>
      <c r="MK195" s="29"/>
      <c r="ML195" s="29"/>
      <c r="MM195" s="29"/>
      <c r="MN195" s="29"/>
      <c r="MO195" s="29"/>
      <c r="MP195" s="29"/>
      <c r="MQ195" s="29"/>
      <c r="MR195" s="29"/>
      <c r="MS195" s="29"/>
      <c r="MT195" s="29"/>
      <c r="MU195" s="29"/>
      <c r="MV195" s="29"/>
      <c r="MW195" s="29"/>
      <c r="MX195" s="29"/>
      <c r="MY195" s="29"/>
      <c r="MZ195" s="29"/>
      <c r="NA195" s="29"/>
      <c r="NB195" s="29"/>
      <c r="NC195" s="29"/>
      <c r="ND195" s="29"/>
      <c r="NE195" s="29"/>
      <c r="NF195" s="29"/>
      <c r="NG195" s="29"/>
      <c r="NH195" s="29"/>
      <c r="NI195" s="29"/>
      <c r="NJ195" s="29"/>
      <c r="NK195" s="29"/>
      <c r="NL195" s="29"/>
      <c r="NM195" s="29"/>
      <c r="NN195" s="29"/>
      <c r="NO195" s="29"/>
      <c r="NP195" s="29"/>
      <c r="NQ195" s="29"/>
      <c r="NR195" s="29"/>
      <c r="NS195" s="29"/>
      <c r="NT195" s="29"/>
      <c r="NU195" s="29"/>
      <c r="NV195" s="29"/>
      <c r="NW195" s="29"/>
      <c r="NX195" s="29"/>
      <c r="NY195" s="29"/>
      <c r="NZ195" s="29"/>
      <c r="OA195" s="29"/>
      <c r="OB195" s="29"/>
      <c r="OC195" s="29"/>
      <c r="OD195" s="29"/>
      <c r="OE195" s="29"/>
      <c r="OF195" s="29"/>
      <c r="OG195" s="29"/>
      <c r="OH195" s="29"/>
      <c r="OI195" s="29"/>
      <c r="OJ195" s="29"/>
      <c r="OK195" s="29"/>
      <c r="OL195" s="29"/>
      <c r="OM195" s="29"/>
      <c r="ON195" s="29"/>
      <c r="OO195" s="29"/>
      <c r="OP195" s="29"/>
      <c r="OQ195" s="29"/>
      <c r="OR195" s="29"/>
      <c r="OS195" s="29"/>
      <c r="OT195" s="29"/>
      <c r="OU195" s="29"/>
      <c r="OV195" s="29"/>
      <c r="OW195" s="29"/>
      <c r="OX195" s="29"/>
      <c r="OY195" s="29"/>
      <c r="OZ195" s="29"/>
      <c r="PA195" s="29"/>
      <c r="PB195" s="29"/>
      <c r="PC195" s="29"/>
      <c r="PD195" s="29"/>
      <c r="PE195" s="29"/>
      <c r="PF195" s="29"/>
      <c r="PG195" s="29"/>
      <c r="PH195" s="29"/>
      <c r="PI195" s="29"/>
      <c r="PJ195" s="29"/>
      <c r="PK195" s="29"/>
      <c r="PL195" s="29"/>
      <c r="PM195" s="29"/>
      <c r="PN195" s="29"/>
      <c r="PO195" s="29"/>
      <c r="PP195" s="29"/>
      <c r="PQ195" s="29"/>
      <c r="PR195" s="29"/>
      <c r="PS195" s="29"/>
      <c r="PT195" s="29"/>
      <c r="PU195" s="29"/>
      <c r="PV195" s="29"/>
      <c r="PW195" s="29"/>
      <c r="PX195" s="29"/>
      <c r="PY195" s="29"/>
      <c r="PZ195" s="29"/>
      <c r="QA195" s="29"/>
      <c r="QB195" s="29"/>
      <c r="QC195" s="29"/>
      <c r="QD195" s="29"/>
      <c r="QE195" s="29"/>
      <c r="QF195" s="29"/>
      <c r="QG195" s="29"/>
      <c r="QH195" s="29"/>
      <c r="QI195" s="29"/>
      <c r="QJ195" s="29"/>
      <c r="QK195" s="29"/>
      <c r="QL195" s="29"/>
      <c r="QM195" s="29"/>
      <c r="QN195" s="29"/>
      <c r="QO195" s="29"/>
      <c r="QP195" s="29"/>
      <c r="QQ195" s="29"/>
      <c r="QR195" s="29"/>
      <c r="QS195" s="29"/>
      <c r="QT195" s="29"/>
      <c r="QU195" s="29"/>
      <c r="QV195" s="29"/>
      <c r="QW195" s="29"/>
      <c r="QX195" s="29"/>
      <c r="QY195" s="29"/>
      <c r="QZ195" s="29"/>
      <c r="RA195" s="29"/>
      <c r="RB195" s="29"/>
      <c r="RC195" s="29"/>
      <c r="RD195" s="29"/>
      <c r="RE195" s="29"/>
      <c r="RF195" s="29"/>
      <c r="RG195" s="29"/>
      <c r="RH195" s="29"/>
      <c r="RI195" s="29"/>
      <c r="RJ195" s="29"/>
      <c r="RK195" s="29"/>
      <c r="RL195" s="29"/>
      <c r="RM195" s="29"/>
      <c r="RN195" s="29"/>
      <c r="RO195" s="29"/>
      <c r="RP195" s="29"/>
      <c r="RQ195" s="29"/>
      <c r="RR195" s="29"/>
      <c r="RS195" s="29"/>
      <c r="RT195" s="29"/>
      <c r="RU195" s="29"/>
      <c r="RV195" s="29"/>
      <c r="RW195" s="29"/>
      <c r="RX195" s="29"/>
      <c r="RY195" s="29"/>
      <c r="RZ195" s="29"/>
      <c r="SA195" s="29"/>
      <c r="SB195" s="29"/>
      <c r="SC195" s="29"/>
      <c r="SD195" s="29"/>
      <c r="SE195" s="29"/>
      <c r="SF195" s="29"/>
      <c r="SG195" s="29"/>
      <c r="SH195" s="29"/>
      <c r="SI195" s="29"/>
      <c r="SJ195" s="29"/>
      <c r="SK195" s="29"/>
      <c r="SL195" s="29"/>
      <c r="SM195" s="29"/>
      <c r="SN195" s="29"/>
      <c r="SO195" s="29"/>
      <c r="SP195" s="29"/>
      <c r="SQ195" s="29"/>
      <c r="SR195" s="29"/>
      <c r="SS195" s="29"/>
      <c r="ST195" s="29"/>
      <c r="SU195" s="29"/>
      <c r="SV195" s="29"/>
      <c r="SW195" s="29"/>
      <c r="SX195" s="29"/>
      <c r="SY195" s="29"/>
      <c r="SZ195" s="29"/>
      <c r="TA195" s="29"/>
      <c r="TB195" s="29"/>
      <c r="TC195" s="29"/>
      <c r="TD195" s="29"/>
      <c r="TE195" s="29"/>
      <c r="TF195" s="29"/>
      <c r="TG195" s="29"/>
      <c r="TH195" s="29"/>
      <c r="TI195" s="29"/>
      <c r="TJ195" s="29"/>
      <c r="TK195" s="29"/>
      <c r="TL195" s="29"/>
      <c r="TM195" s="29"/>
      <c r="TN195" s="29"/>
      <c r="TO195" s="29"/>
      <c r="TP195" s="29"/>
      <c r="TQ195" s="29"/>
      <c r="TR195" s="29"/>
      <c r="TS195" s="29"/>
      <c r="TT195" s="29"/>
      <c r="TU195" s="29"/>
      <c r="TV195" s="29"/>
      <c r="TW195" s="29"/>
      <c r="TX195" s="29"/>
      <c r="TY195" s="29"/>
      <c r="TZ195" s="29"/>
      <c r="UA195" s="29"/>
      <c r="UB195" s="29"/>
      <c r="UC195" s="29"/>
      <c r="UD195" s="29"/>
      <c r="UE195" s="29"/>
      <c r="UF195" s="29"/>
      <c r="UG195" s="29"/>
      <c r="UH195" s="29"/>
      <c r="UI195" s="29"/>
      <c r="UJ195" s="29"/>
      <c r="UK195" s="29"/>
      <c r="UL195" s="29"/>
      <c r="UM195" s="29"/>
      <c r="UN195" s="29"/>
      <c r="UO195" s="29"/>
      <c r="UP195" s="29"/>
      <c r="UQ195" s="29"/>
      <c r="UR195" s="29"/>
      <c r="US195" s="29"/>
      <c r="UT195" s="29"/>
      <c r="UU195" s="29"/>
      <c r="UV195" s="29"/>
      <c r="UW195" s="29"/>
      <c r="UX195" s="29"/>
      <c r="UY195" s="29"/>
      <c r="UZ195" s="29"/>
      <c r="VA195" s="29"/>
      <c r="VB195" s="29"/>
      <c r="VC195" s="29"/>
      <c r="VD195" s="29"/>
      <c r="VE195" s="29"/>
      <c r="VF195" s="29"/>
      <c r="VG195" s="29"/>
      <c r="VH195" s="29"/>
      <c r="VI195" s="29"/>
      <c r="VJ195" s="29"/>
      <c r="VK195" s="29"/>
      <c r="VL195" s="29"/>
      <c r="VM195" s="29"/>
      <c r="VN195" s="29"/>
      <c r="VO195" s="29"/>
      <c r="VP195" s="29"/>
      <c r="VQ195" s="29"/>
      <c r="VR195" s="29"/>
      <c r="VS195" s="29"/>
      <c r="VT195" s="29"/>
      <c r="VU195" s="29"/>
      <c r="VV195" s="29"/>
      <c r="VW195" s="29"/>
      <c r="VX195" s="29"/>
      <c r="VY195" s="29"/>
      <c r="VZ195" s="29"/>
      <c r="WA195" s="29"/>
      <c r="WB195" s="29"/>
    </row>
    <row r="196" spans="1:600" ht="35.1" customHeight="1" x14ac:dyDescent="0.3">
      <c r="H196" s="1"/>
    </row>
    <row r="197" spans="1:600" ht="35.1" customHeight="1" x14ac:dyDescent="0.3">
      <c r="H197" s="1"/>
    </row>
    <row r="198" spans="1:600" ht="35.1" customHeight="1" x14ac:dyDescent="0.3">
      <c r="H198" s="1"/>
    </row>
    <row r="199" spans="1:600" ht="35.1" customHeight="1" x14ac:dyDescent="0.3">
      <c r="H199" s="1"/>
    </row>
    <row r="200" spans="1:600" ht="35.1" customHeight="1" x14ac:dyDescent="0.3">
      <c r="H200" s="1"/>
    </row>
    <row r="201" spans="1:600" ht="35.1" customHeight="1" x14ac:dyDescent="0.3">
      <c r="H201" s="1"/>
    </row>
    <row r="202" spans="1:600" ht="35.1" customHeight="1" x14ac:dyDescent="0.3">
      <c r="H202" s="1"/>
    </row>
    <row r="203" spans="1:600" ht="35.1" customHeight="1" x14ac:dyDescent="0.3">
      <c r="H203" s="1"/>
    </row>
    <row r="204" spans="1:600" ht="35.1" customHeight="1" x14ac:dyDescent="0.3">
      <c r="H204" s="1"/>
    </row>
    <row r="205" spans="1:600" ht="35.1" customHeight="1" x14ac:dyDescent="0.3">
      <c r="H205" s="1"/>
    </row>
    <row r="206" spans="1:600" ht="35.1" customHeight="1" x14ac:dyDescent="0.3">
      <c r="H206" s="1"/>
    </row>
    <row r="207" spans="1:600" ht="35.1" customHeight="1" x14ac:dyDescent="0.3">
      <c r="H207" s="1"/>
    </row>
    <row r="208" spans="1:600" ht="35.1" customHeight="1" x14ac:dyDescent="0.3">
      <c r="H208" s="1"/>
    </row>
    <row r="209" spans="8:8" ht="35.1" customHeight="1" x14ac:dyDescent="0.3">
      <c r="H209" s="1"/>
    </row>
    <row r="210" spans="8:8" ht="35.1" customHeight="1" x14ac:dyDescent="0.3">
      <c r="H210" s="1"/>
    </row>
    <row r="211" spans="8:8" ht="35.1" customHeight="1" x14ac:dyDescent="0.3">
      <c r="H211" s="1"/>
    </row>
    <row r="212" spans="8:8" ht="35.1" customHeight="1" x14ac:dyDescent="0.3">
      <c r="H212" s="1"/>
    </row>
    <row r="213" spans="8:8" ht="35.1" customHeight="1" x14ac:dyDescent="0.3">
      <c r="H213" s="1"/>
    </row>
    <row r="214" spans="8:8" ht="35.1" customHeight="1" x14ac:dyDescent="0.3">
      <c r="H214" s="1"/>
    </row>
    <row r="215" spans="8:8" ht="35.1" customHeight="1" x14ac:dyDescent="0.3">
      <c r="H215" s="1"/>
    </row>
    <row r="216" spans="8:8" ht="35.1" customHeight="1" x14ac:dyDescent="0.3">
      <c r="H216" s="1"/>
    </row>
    <row r="217" spans="8:8" ht="35.1" customHeight="1" x14ac:dyDescent="0.3">
      <c r="H217" s="1"/>
    </row>
    <row r="218" spans="8:8" ht="35.1" customHeight="1" x14ac:dyDescent="0.3">
      <c r="H218" s="1"/>
    </row>
    <row r="219" spans="8:8" ht="35.1" customHeight="1" x14ac:dyDescent="0.3">
      <c r="H219" s="1"/>
    </row>
    <row r="220" spans="8:8" ht="35.1" customHeight="1" x14ac:dyDescent="0.3">
      <c r="H220" s="1"/>
    </row>
    <row r="221" spans="8:8" ht="35.1" customHeight="1" x14ac:dyDescent="0.3">
      <c r="H221" s="1"/>
    </row>
    <row r="222" spans="8:8" ht="35.1" customHeight="1" x14ac:dyDescent="0.3">
      <c r="H222" s="1"/>
    </row>
    <row r="223" spans="8:8" ht="35.1" customHeight="1" x14ac:dyDescent="0.3">
      <c r="H223" s="1"/>
    </row>
    <row r="224" spans="8:8" ht="35.1" customHeight="1" x14ac:dyDescent="0.3">
      <c r="H224" s="1"/>
    </row>
    <row r="225" spans="8:8" ht="35.1" customHeight="1" x14ac:dyDescent="0.3">
      <c r="H225" s="1"/>
    </row>
    <row r="226" spans="8:8" ht="35.1" customHeight="1" x14ac:dyDescent="0.3">
      <c r="H226" s="1"/>
    </row>
    <row r="227" spans="8:8" ht="35.1" customHeight="1" x14ac:dyDescent="0.3">
      <c r="H227" s="1"/>
    </row>
    <row r="228" spans="8:8" ht="35.1" customHeight="1" x14ac:dyDescent="0.3">
      <c r="H228" s="1"/>
    </row>
    <row r="229" spans="8:8" ht="35.1" customHeight="1" x14ac:dyDescent="0.3">
      <c r="H229" s="1"/>
    </row>
    <row r="230" spans="8:8" ht="35.1" customHeight="1" x14ac:dyDescent="0.3">
      <c r="H230" s="1"/>
    </row>
    <row r="231" spans="8:8" ht="35.1" customHeight="1" x14ac:dyDescent="0.3">
      <c r="H231" s="1"/>
    </row>
    <row r="232" spans="8:8" ht="35.1" customHeight="1" x14ac:dyDescent="0.3">
      <c r="H232" s="1"/>
    </row>
    <row r="233" spans="8:8" ht="35.1" customHeight="1" x14ac:dyDescent="0.3">
      <c r="H233" s="1"/>
    </row>
    <row r="234" spans="8:8" ht="35.1" customHeight="1" x14ac:dyDescent="0.3">
      <c r="H234" s="1"/>
    </row>
    <row r="235" spans="8:8" ht="35.1" customHeight="1" x14ac:dyDescent="0.3">
      <c r="H235" s="1"/>
    </row>
    <row r="236" spans="8:8" ht="35.1" customHeight="1" x14ac:dyDescent="0.3">
      <c r="H236" s="1"/>
    </row>
    <row r="237" spans="8:8" ht="35.1" customHeight="1" x14ac:dyDescent="0.3">
      <c r="H237" s="1"/>
    </row>
    <row r="238" spans="8:8" ht="35.1" customHeight="1" x14ac:dyDescent="0.3">
      <c r="H238" s="1"/>
    </row>
    <row r="239" spans="8:8" ht="35.1" customHeight="1" x14ac:dyDescent="0.3">
      <c r="H239" s="1"/>
    </row>
    <row r="240" spans="8:8" ht="35.1" customHeight="1" x14ac:dyDescent="0.3">
      <c r="H240" s="1"/>
    </row>
    <row r="241" spans="8:8" ht="35.1" customHeight="1" x14ac:dyDescent="0.3">
      <c r="H241" s="1"/>
    </row>
    <row r="242" spans="8:8" ht="35.1" customHeight="1" x14ac:dyDescent="0.3">
      <c r="H242" s="1"/>
    </row>
    <row r="243" spans="8:8" ht="35.1" customHeight="1" x14ac:dyDescent="0.3">
      <c r="H243" s="1"/>
    </row>
    <row r="244" spans="8:8" ht="35.1" customHeight="1" x14ac:dyDescent="0.3">
      <c r="H244" s="1"/>
    </row>
    <row r="245" spans="8:8" ht="35.1" customHeight="1" x14ac:dyDescent="0.3">
      <c r="H245" s="1"/>
    </row>
    <row r="246" spans="8:8" ht="35.1" customHeight="1" x14ac:dyDescent="0.3">
      <c r="H246" s="1"/>
    </row>
    <row r="247" spans="8:8" ht="35.1" customHeight="1" x14ac:dyDescent="0.3">
      <c r="H247" s="1"/>
    </row>
    <row r="248" spans="8:8" ht="35.1" customHeight="1" x14ac:dyDescent="0.3">
      <c r="H248" s="1"/>
    </row>
    <row r="249" spans="8:8" ht="35.1" customHeight="1" x14ac:dyDescent="0.3">
      <c r="H249" s="1"/>
    </row>
    <row r="250" spans="8:8" ht="35.1" customHeight="1" x14ac:dyDescent="0.3">
      <c r="H250" s="1"/>
    </row>
    <row r="251" spans="8:8" ht="35.1" customHeight="1" x14ac:dyDescent="0.3">
      <c r="H251" s="1"/>
    </row>
    <row r="252" spans="8:8" ht="35.1" customHeight="1" x14ac:dyDescent="0.3">
      <c r="H252" s="1"/>
    </row>
    <row r="253" spans="8:8" ht="35.1" customHeight="1" x14ac:dyDescent="0.3">
      <c r="H253" s="1"/>
    </row>
    <row r="254" spans="8:8" ht="35.1" customHeight="1" x14ac:dyDescent="0.3">
      <c r="H254" s="1"/>
    </row>
    <row r="255" spans="8:8" ht="35.1" customHeight="1" x14ac:dyDescent="0.3">
      <c r="H255" s="1"/>
    </row>
    <row r="256" spans="8:8" ht="35.1" customHeight="1" x14ac:dyDescent="0.3">
      <c r="H256" s="1"/>
    </row>
    <row r="257" spans="1:600" ht="35.1" customHeight="1" x14ac:dyDescent="0.3">
      <c r="H257" s="1"/>
    </row>
    <row r="258" spans="1:600" ht="35.1" customHeight="1" x14ac:dyDescent="0.3">
      <c r="H258" s="1"/>
    </row>
    <row r="259" spans="1:600" ht="35.1" customHeight="1" x14ac:dyDescent="0.3">
      <c r="H259" s="1"/>
    </row>
    <row r="260" spans="1:600" ht="35.1" customHeight="1" x14ac:dyDescent="0.3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  <c r="AY260" s="29"/>
      <c r="AZ260" s="29"/>
      <c r="BA260" s="29"/>
      <c r="BB260" s="29"/>
      <c r="BC260" s="29"/>
      <c r="BD260" s="29"/>
      <c r="BE260" s="29"/>
      <c r="BF260" s="29"/>
      <c r="BG260" s="29"/>
      <c r="BH260" s="29"/>
      <c r="BI260" s="29"/>
      <c r="BJ260" s="29"/>
      <c r="BK260" s="29"/>
      <c r="BL260" s="29"/>
      <c r="BM260" s="29"/>
      <c r="BN260" s="29"/>
      <c r="BO260" s="29"/>
      <c r="BP260" s="29"/>
      <c r="BQ260" s="29"/>
      <c r="BR260" s="29"/>
      <c r="BS260" s="29"/>
      <c r="BT260" s="29"/>
      <c r="BU260" s="29"/>
      <c r="BV260" s="29"/>
      <c r="BW260" s="29"/>
      <c r="BX260" s="29"/>
      <c r="BY260" s="29"/>
      <c r="BZ260" s="29"/>
      <c r="CA260" s="29"/>
      <c r="CB260" s="29"/>
      <c r="CC260" s="29"/>
      <c r="CD260" s="29"/>
      <c r="CE260" s="29"/>
      <c r="CF260" s="29"/>
      <c r="CG260" s="29"/>
      <c r="CH260" s="29"/>
      <c r="CI260" s="29"/>
      <c r="CJ260" s="29"/>
      <c r="CK260" s="29"/>
      <c r="CL260" s="29"/>
      <c r="CM260" s="29"/>
      <c r="CN260" s="29"/>
      <c r="CO260" s="29"/>
      <c r="CP260" s="29"/>
      <c r="CQ260" s="29"/>
      <c r="CR260" s="29"/>
      <c r="CS260" s="29"/>
      <c r="CT260" s="29"/>
      <c r="CU260" s="29"/>
      <c r="CV260" s="29"/>
      <c r="CW260" s="29"/>
      <c r="CX260" s="29"/>
      <c r="CY260" s="29"/>
      <c r="CZ260" s="29"/>
      <c r="DA260" s="29"/>
      <c r="DB260" s="29"/>
      <c r="DC260" s="29"/>
      <c r="DD260" s="29"/>
      <c r="DE260" s="29"/>
      <c r="DF260" s="29"/>
      <c r="DG260" s="29"/>
      <c r="DH260" s="29"/>
      <c r="DI260" s="29"/>
      <c r="DJ260" s="29"/>
      <c r="DK260" s="29"/>
      <c r="DL260" s="29"/>
      <c r="DM260" s="29"/>
      <c r="DN260" s="29"/>
      <c r="DO260" s="29"/>
      <c r="DP260" s="29"/>
      <c r="DQ260" s="29"/>
      <c r="DR260" s="29"/>
      <c r="DS260" s="29"/>
      <c r="DT260" s="29"/>
      <c r="DU260" s="29"/>
      <c r="DV260" s="29"/>
      <c r="DW260" s="29"/>
      <c r="DX260" s="29"/>
      <c r="DY260" s="29"/>
      <c r="DZ260" s="29"/>
      <c r="EA260" s="29"/>
      <c r="EB260" s="29"/>
      <c r="EC260" s="29"/>
      <c r="ED260" s="29"/>
      <c r="EE260" s="29"/>
      <c r="EF260" s="29"/>
      <c r="EG260" s="29"/>
      <c r="EH260" s="29"/>
      <c r="EI260" s="29"/>
      <c r="EJ260" s="29"/>
      <c r="EK260" s="29"/>
      <c r="EL260" s="29"/>
      <c r="EM260" s="29"/>
      <c r="EN260" s="29"/>
      <c r="EO260" s="29"/>
      <c r="EP260" s="29"/>
      <c r="EQ260" s="29"/>
      <c r="ER260" s="29"/>
      <c r="ES260" s="29"/>
      <c r="ET260" s="29"/>
      <c r="EU260" s="29"/>
      <c r="EV260" s="29"/>
      <c r="EW260" s="29"/>
      <c r="EX260" s="29"/>
      <c r="EY260" s="29"/>
      <c r="EZ260" s="29"/>
      <c r="FA260" s="29"/>
      <c r="FB260" s="29"/>
      <c r="FC260" s="29"/>
      <c r="FD260" s="29"/>
      <c r="FE260" s="29"/>
      <c r="FF260" s="29"/>
      <c r="FG260" s="29"/>
      <c r="FH260" s="29"/>
      <c r="FI260" s="29"/>
      <c r="FJ260" s="29"/>
      <c r="FK260" s="29"/>
      <c r="FL260" s="29"/>
      <c r="FM260" s="29"/>
      <c r="FN260" s="29"/>
      <c r="FO260" s="29"/>
      <c r="FP260" s="29"/>
      <c r="FQ260" s="29"/>
      <c r="FR260" s="29"/>
      <c r="FS260" s="29"/>
      <c r="FT260" s="29"/>
      <c r="FU260" s="29"/>
      <c r="FV260" s="29"/>
      <c r="FW260" s="29"/>
      <c r="FX260" s="29"/>
      <c r="FY260" s="29"/>
      <c r="FZ260" s="29"/>
      <c r="GA260" s="29"/>
      <c r="GB260" s="29"/>
      <c r="GC260" s="29"/>
      <c r="GD260" s="29"/>
      <c r="GE260" s="29"/>
      <c r="GF260" s="29"/>
      <c r="GG260" s="29"/>
      <c r="GH260" s="29"/>
      <c r="GI260" s="29"/>
      <c r="GJ260" s="29"/>
      <c r="GK260" s="29"/>
      <c r="GL260" s="29"/>
      <c r="GM260" s="29"/>
      <c r="GN260" s="29"/>
      <c r="GO260" s="29"/>
      <c r="GP260" s="29"/>
      <c r="GQ260" s="29"/>
      <c r="GR260" s="29"/>
      <c r="GS260" s="29"/>
      <c r="GT260" s="29"/>
      <c r="GU260" s="29"/>
      <c r="GV260" s="29"/>
      <c r="GW260" s="29"/>
      <c r="GX260" s="29"/>
      <c r="GY260" s="29"/>
      <c r="GZ260" s="29"/>
      <c r="HA260" s="29"/>
      <c r="HB260" s="29"/>
      <c r="HC260" s="29"/>
      <c r="HD260" s="29"/>
      <c r="HE260" s="29"/>
      <c r="HF260" s="29"/>
      <c r="HG260" s="29"/>
      <c r="HH260" s="29"/>
      <c r="HI260" s="29"/>
      <c r="HJ260" s="29"/>
      <c r="HK260" s="29"/>
      <c r="HL260" s="29"/>
      <c r="HM260" s="29"/>
      <c r="HN260" s="29"/>
      <c r="HO260" s="29"/>
      <c r="HP260" s="29"/>
      <c r="HQ260" s="29"/>
      <c r="HR260" s="29"/>
      <c r="HS260" s="29"/>
      <c r="HT260" s="29"/>
      <c r="HU260" s="29"/>
      <c r="HV260" s="29"/>
      <c r="HW260" s="29"/>
      <c r="HX260" s="29"/>
      <c r="HY260" s="29"/>
      <c r="HZ260" s="29"/>
      <c r="IA260" s="29"/>
      <c r="IB260" s="29"/>
      <c r="IC260" s="29"/>
      <c r="ID260" s="29"/>
      <c r="IE260" s="29"/>
      <c r="IF260" s="29"/>
      <c r="IG260" s="29"/>
      <c r="IH260" s="29"/>
      <c r="II260" s="29"/>
      <c r="IJ260" s="29"/>
      <c r="IK260" s="29"/>
      <c r="IL260" s="29"/>
      <c r="IM260" s="29"/>
      <c r="IN260" s="29"/>
      <c r="IO260" s="29"/>
      <c r="IP260" s="29"/>
      <c r="IQ260" s="29"/>
      <c r="IR260" s="29"/>
      <c r="IS260" s="29"/>
      <c r="IT260" s="29"/>
      <c r="IU260" s="29"/>
      <c r="IV260" s="29"/>
      <c r="IW260" s="29"/>
      <c r="IX260" s="29"/>
      <c r="IY260" s="29"/>
      <c r="IZ260" s="29"/>
      <c r="JA260" s="29"/>
      <c r="JB260" s="29"/>
      <c r="JC260" s="29"/>
      <c r="JD260" s="29"/>
      <c r="JE260" s="29"/>
      <c r="JF260" s="29"/>
      <c r="JG260" s="29"/>
      <c r="JH260" s="29"/>
      <c r="JI260" s="29"/>
      <c r="JJ260" s="29"/>
      <c r="JK260" s="29"/>
      <c r="JL260" s="29"/>
      <c r="JM260" s="29"/>
      <c r="JN260" s="29"/>
      <c r="JO260" s="29"/>
      <c r="JP260" s="29"/>
      <c r="JQ260" s="29"/>
      <c r="JR260" s="29"/>
      <c r="JS260" s="29"/>
      <c r="JT260" s="29"/>
      <c r="JU260" s="29"/>
      <c r="JV260" s="29"/>
      <c r="JW260" s="29"/>
      <c r="JX260" s="29"/>
      <c r="JY260" s="29"/>
      <c r="JZ260" s="29"/>
      <c r="KA260" s="29"/>
      <c r="KB260" s="29"/>
      <c r="KC260" s="29"/>
      <c r="KD260" s="29"/>
      <c r="KE260" s="29"/>
      <c r="KF260" s="29"/>
      <c r="KG260" s="29"/>
      <c r="KH260" s="29"/>
      <c r="KI260" s="29"/>
      <c r="KJ260" s="29"/>
      <c r="KK260" s="29"/>
      <c r="KL260" s="29"/>
      <c r="KM260" s="29"/>
      <c r="KN260" s="29"/>
      <c r="KO260" s="29"/>
      <c r="KP260" s="29"/>
      <c r="KQ260" s="29"/>
      <c r="KR260" s="29"/>
      <c r="KS260" s="29"/>
      <c r="KT260" s="29"/>
      <c r="KU260" s="29"/>
      <c r="KV260" s="29"/>
      <c r="KW260" s="29"/>
      <c r="KX260" s="29"/>
      <c r="KY260" s="29"/>
      <c r="KZ260" s="29"/>
      <c r="LA260" s="29"/>
      <c r="LB260" s="29"/>
      <c r="LC260" s="29"/>
      <c r="LD260" s="29"/>
      <c r="LE260" s="29"/>
      <c r="LF260" s="29"/>
      <c r="LG260" s="29"/>
      <c r="LH260" s="29"/>
      <c r="LI260" s="29"/>
      <c r="LJ260" s="29"/>
      <c r="LK260" s="29"/>
      <c r="LL260" s="29"/>
      <c r="LM260" s="29"/>
      <c r="LN260" s="29"/>
      <c r="LO260" s="29"/>
      <c r="LP260" s="29"/>
      <c r="LQ260" s="29"/>
      <c r="LR260" s="29"/>
      <c r="LS260" s="29"/>
      <c r="LT260" s="29"/>
      <c r="LU260" s="29"/>
      <c r="LV260" s="29"/>
      <c r="LW260" s="29"/>
      <c r="LX260" s="29"/>
      <c r="LY260" s="29"/>
      <c r="LZ260" s="29"/>
      <c r="MA260" s="29"/>
      <c r="MB260" s="29"/>
      <c r="MC260" s="29"/>
      <c r="MD260" s="29"/>
      <c r="ME260" s="29"/>
      <c r="MF260" s="29"/>
      <c r="MG260" s="29"/>
      <c r="MH260" s="29"/>
      <c r="MI260" s="29"/>
      <c r="MJ260" s="29"/>
      <c r="MK260" s="29"/>
      <c r="ML260" s="29"/>
      <c r="MM260" s="29"/>
      <c r="MN260" s="29"/>
      <c r="MO260" s="29"/>
      <c r="MP260" s="29"/>
      <c r="MQ260" s="29"/>
      <c r="MR260" s="29"/>
      <c r="MS260" s="29"/>
      <c r="MT260" s="29"/>
      <c r="MU260" s="29"/>
      <c r="MV260" s="29"/>
      <c r="MW260" s="29"/>
      <c r="MX260" s="29"/>
      <c r="MY260" s="29"/>
      <c r="MZ260" s="29"/>
      <c r="NA260" s="29"/>
      <c r="NB260" s="29"/>
      <c r="NC260" s="29"/>
      <c r="ND260" s="29"/>
      <c r="NE260" s="29"/>
      <c r="NF260" s="29"/>
      <c r="NG260" s="29"/>
      <c r="NH260" s="29"/>
      <c r="NI260" s="29"/>
      <c r="NJ260" s="29"/>
      <c r="NK260" s="29"/>
      <c r="NL260" s="29"/>
      <c r="NM260" s="29"/>
      <c r="NN260" s="29"/>
      <c r="NO260" s="29"/>
      <c r="NP260" s="29"/>
      <c r="NQ260" s="29"/>
      <c r="NR260" s="29"/>
      <c r="NS260" s="29"/>
      <c r="NT260" s="29"/>
      <c r="NU260" s="29"/>
      <c r="NV260" s="29"/>
      <c r="NW260" s="29"/>
      <c r="NX260" s="29"/>
      <c r="NY260" s="29"/>
      <c r="NZ260" s="29"/>
      <c r="OA260" s="29"/>
      <c r="OB260" s="29"/>
      <c r="OC260" s="29"/>
      <c r="OD260" s="29"/>
      <c r="OE260" s="29"/>
      <c r="OF260" s="29"/>
      <c r="OG260" s="29"/>
      <c r="OH260" s="29"/>
      <c r="OI260" s="29"/>
      <c r="OJ260" s="29"/>
      <c r="OK260" s="29"/>
      <c r="OL260" s="29"/>
      <c r="OM260" s="29"/>
      <c r="ON260" s="29"/>
      <c r="OO260" s="29"/>
      <c r="OP260" s="29"/>
      <c r="OQ260" s="29"/>
      <c r="OR260" s="29"/>
      <c r="OS260" s="29"/>
      <c r="OT260" s="29"/>
      <c r="OU260" s="29"/>
      <c r="OV260" s="29"/>
      <c r="OW260" s="29"/>
      <c r="OX260" s="29"/>
      <c r="OY260" s="29"/>
      <c r="OZ260" s="29"/>
      <c r="PA260" s="29"/>
      <c r="PB260" s="29"/>
      <c r="PC260" s="29"/>
      <c r="PD260" s="29"/>
      <c r="PE260" s="29"/>
      <c r="PF260" s="29"/>
      <c r="PG260" s="29"/>
      <c r="PH260" s="29"/>
      <c r="PI260" s="29"/>
      <c r="PJ260" s="29"/>
      <c r="PK260" s="29"/>
      <c r="PL260" s="29"/>
      <c r="PM260" s="29"/>
      <c r="PN260" s="29"/>
      <c r="PO260" s="29"/>
      <c r="PP260" s="29"/>
      <c r="PQ260" s="29"/>
      <c r="PR260" s="29"/>
      <c r="PS260" s="29"/>
      <c r="PT260" s="29"/>
      <c r="PU260" s="29"/>
      <c r="PV260" s="29"/>
      <c r="PW260" s="29"/>
      <c r="PX260" s="29"/>
      <c r="PY260" s="29"/>
      <c r="PZ260" s="29"/>
      <c r="QA260" s="29"/>
      <c r="QB260" s="29"/>
      <c r="QC260" s="29"/>
      <c r="QD260" s="29"/>
      <c r="QE260" s="29"/>
      <c r="QF260" s="29"/>
      <c r="QG260" s="29"/>
      <c r="QH260" s="29"/>
      <c r="QI260" s="29"/>
      <c r="QJ260" s="29"/>
      <c r="QK260" s="29"/>
      <c r="QL260" s="29"/>
      <c r="QM260" s="29"/>
      <c r="QN260" s="29"/>
      <c r="QO260" s="29"/>
      <c r="QP260" s="29"/>
      <c r="QQ260" s="29"/>
      <c r="QR260" s="29"/>
      <c r="QS260" s="29"/>
      <c r="QT260" s="29"/>
      <c r="QU260" s="29"/>
      <c r="QV260" s="29"/>
      <c r="QW260" s="29"/>
      <c r="QX260" s="29"/>
      <c r="QY260" s="29"/>
      <c r="QZ260" s="29"/>
      <c r="RA260" s="29"/>
      <c r="RB260" s="29"/>
      <c r="RC260" s="29"/>
      <c r="RD260" s="29"/>
      <c r="RE260" s="29"/>
      <c r="RF260" s="29"/>
      <c r="RG260" s="29"/>
      <c r="RH260" s="29"/>
      <c r="RI260" s="29"/>
      <c r="RJ260" s="29"/>
      <c r="RK260" s="29"/>
      <c r="RL260" s="29"/>
      <c r="RM260" s="29"/>
      <c r="RN260" s="29"/>
      <c r="RO260" s="29"/>
      <c r="RP260" s="29"/>
      <c r="RQ260" s="29"/>
      <c r="RR260" s="29"/>
      <c r="RS260" s="29"/>
      <c r="RT260" s="29"/>
      <c r="RU260" s="29"/>
      <c r="RV260" s="29"/>
      <c r="RW260" s="29"/>
      <c r="RX260" s="29"/>
      <c r="RY260" s="29"/>
      <c r="RZ260" s="29"/>
      <c r="SA260" s="29"/>
      <c r="SB260" s="29"/>
      <c r="SC260" s="29"/>
      <c r="SD260" s="29"/>
      <c r="SE260" s="29"/>
      <c r="SF260" s="29"/>
      <c r="SG260" s="29"/>
      <c r="SH260" s="29"/>
      <c r="SI260" s="29"/>
      <c r="SJ260" s="29"/>
      <c r="SK260" s="29"/>
      <c r="SL260" s="29"/>
      <c r="SM260" s="29"/>
      <c r="SN260" s="29"/>
      <c r="SO260" s="29"/>
      <c r="SP260" s="29"/>
      <c r="SQ260" s="29"/>
      <c r="SR260" s="29"/>
      <c r="SS260" s="29"/>
      <c r="ST260" s="29"/>
      <c r="SU260" s="29"/>
      <c r="SV260" s="29"/>
      <c r="SW260" s="29"/>
      <c r="SX260" s="29"/>
      <c r="SY260" s="29"/>
      <c r="SZ260" s="29"/>
      <c r="TA260" s="29"/>
      <c r="TB260" s="29"/>
      <c r="TC260" s="29"/>
      <c r="TD260" s="29"/>
      <c r="TE260" s="29"/>
      <c r="TF260" s="29"/>
      <c r="TG260" s="29"/>
      <c r="TH260" s="29"/>
      <c r="TI260" s="29"/>
      <c r="TJ260" s="29"/>
      <c r="TK260" s="29"/>
      <c r="TL260" s="29"/>
      <c r="TM260" s="29"/>
      <c r="TN260" s="29"/>
      <c r="TO260" s="29"/>
      <c r="TP260" s="29"/>
      <c r="TQ260" s="29"/>
      <c r="TR260" s="29"/>
      <c r="TS260" s="29"/>
      <c r="TT260" s="29"/>
      <c r="TU260" s="29"/>
      <c r="TV260" s="29"/>
      <c r="TW260" s="29"/>
      <c r="TX260" s="29"/>
      <c r="TY260" s="29"/>
      <c r="TZ260" s="29"/>
      <c r="UA260" s="29"/>
      <c r="UB260" s="29"/>
      <c r="UC260" s="29"/>
      <c r="UD260" s="29"/>
      <c r="UE260" s="29"/>
      <c r="UF260" s="29"/>
      <c r="UG260" s="29"/>
      <c r="UH260" s="29"/>
      <c r="UI260" s="29"/>
      <c r="UJ260" s="29"/>
      <c r="UK260" s="29"/>
      <c r="UL260" s="29"/>
      <c r="UM260" s="29"/>
      <c r="UN260" s="29"/>
      <c r="UO260" s="29"/>
      <c r="UP260" s="29"/>
      <c r="UQ260" s="29"/>
      <c r="UR260" s="29"/>
      <c r="US260" s="29"/>
      <c r="UT260" s="29"/>
      <c r="UU260" s="29"/>
      <c r="UV260" s="29"/>
      <c r="UW260" s="29"/>
      <c r="UX260" s="29"/>
      <c r="UY260" s="29"/>
      <c r="UZ260" s="29"/>
      <c r="VA260" s="29"/>
      <c r="VB260" s="29"/>
      <c r="VC260" s="29"/>
      <c r="VD260" s="29"/>
      <c r="VE260" s="29"/>
      <c r="VF260" s="29"/>
      <c r="VG260" s="29"/>
      <c r="VH260" s="29"/>
      <c r="VI260" s="29"/>
      <c r="VJ260" s="29"/>
      <c r="VK260" s="29"/>
      <c r="VL260" s="29"/>
      <c r="VM260" s="29"/>
      <c r="VN260" s="29"/>
      <c r="VO260" s="29"/>
      <c r="VP260" s="29"/>
      <c r="VQ260" s="29"/>
      <c r="VR260" s="29"/>
      <c r="VS260" s="29"/>
      <c r="VT260" s="29"/>
      <c r="VU260" s="29"/>
      <c r="VV260" s="29"/>
      <c r="VW260" s="29"/>
      <c r="VX260" s="29"/>
      <c r="VY260" s="29"/>
      <c r="VZ260" s="29"/>
      <c r="WA260" s="29"/>
      <c r="WB260" s="29"/>
    </row>
    <row r="261" spans="1:600" ht="35.1" customHeight="1" x14ac:dyDescent="0.3">
      <c r="H261" s="1"/>
    </row>
    <row r="262" spans="1:600" ht="35.1" customHeight="1" x14ac:dyDescent="0.3">
      <c r="H262" s="1"/>
    </row>
    <row r="263" spans="1:600" ht="35.1" customHeight="1" x14ac:dyDescent="0.3">
      <c r="H263" s="1"/>
    </row>
    <row r="264" spans="1:600" ht="35.1" customHeight="1" x14ac:dyDescent="0.3">
      <c r="H264" s="1"/>
    </row>
    <row r="265" spans="1:600" ht="35.1" customHeight="1" x14ac:dyDescent="0.3">
      <c r="H265" s="1"/>
    </row>
    <row r="266" spans="1:600" ht="35.1" customHeight="1" x14ac:dyDescent="0.3">
      <c r="H266" s="1"/>
    </row>
    <row r="267" spans="1:600" ht="35.1" customHeight="1" x14ac:dyDescent="0.3">
      <c r="H267" s="1"/>
    </row>
    <row r="268" spans="1:600" ht="35.1" customHeight="1" x14ac:dyDescent="0.3">
      <c r="H268" s="1"/>
    </row>
    <row r="269" spans="1:600" ht="35.1" customHeight="1" x14ac:dyDescent="0.3">
      <c r="H269" s="1"/>
    </row>
    <row r="270" spans="1:600" ht="35.1" customHeight="1" x14ac:dyDescent="0.3">
      <c r="H270" s="1"/>
    </row>
    <row r="271" spans="1:600" ht="35.1" customHeight="1" x14ac:dyDescent="0.3">
      <c r="H271" s="1"/>
    </row>
    <row r="272" spans="1:600" ht="35.1" customHeight="1" x14ac:dyDescent="0.3">
      <c r="H272" s="1"/>
    </row>
    <row r="273" spans="8:8" ht="35.1" customHeight="1" x14ac:dyDescent="0.3">
      <c r="H273" s="1"/>
    </row>
    <row r="274" spans="8:8" ht="35.1" customHeight="1" x14ac:dyDescent="0.3">
      <c r="H274" s="1"/>
    </row>
    <row r="275" spans="8:8" ht="35.1" customHeight="1" x14ac:dyDescent="0.3">
      <c r="H275" s="1"/>
    </row>
    <row r="276" spans="8:8" ht="35.1" customHeight="1" x14ac:dyDescent="0.3">
      <c r="H276" s="1"/>
    </row>
    <row r="277" spans="8:8" ht="35.1" customHeight="1" x14ac:dyDescent="0.3">
      <c r="H277" s="1"/>
    </row>
    <row r="278" spans="8:8" ht="35.1" customHeight="1" x14ac:dyDescent="0.3">
      <c r="H278" s="1"/>
    </row>
    <row r="279" spans="8:8" ht="35.1" customHeight="1" x14ac:dyDescent="0.3">
      <c r="H279" s="1"/>
    </row>
    <row r="280" spans="8:8" ht="35.1" customHeight="1" x14ac:dyDescent="0.3">
      <c r="H280" s="1"/>
    </row>
    <row r="281" spans="8:8" ht="35.1" customHeight="1" x14ac:dyDescent="0.3">
      <c r="H281" s="1"/>
    </row>
    <row r="282" spans="8:8" ht="35.1" customHeight="1" x14ac:dyDescent="0.3">
      <c r="H282" s="1"/>
    </row>
    <row r="283" spans="8:8" ht="35.1" customHeight="1" x14ac:dyDescent="0.3">
      <c r="H283" s="1"/>
    </row>
    <row r="284" spans="8:8" ht="35.1" customHeight="1" x14ac:dyDescent="0.3">
      <c r="H284" s="1"/>
    </row>
    <row r="285" spans="8:8" ht="35.1" customHeight="1" x14ac:dyDescent="0.3">
      <c r="H285" s="1"/>
    </row>
    <row r="286" spans="8:8" ht="35.1" customHeight="1" x14ac:dyDescent="0.3">
      <c r="H286" s="1"/>
    </row>
    <row r="287" spans="8:8" ht="35.1" customHeight="1" x14ac:dyDescent="0.3">
      <c r="H287" s="1"/>
    </row>
    <row r="288" spans="8:8" ht="35.1" customHeight="1" x14ac:dyDescent="0.3">
      <c r="H288" s="1"/>
    </row>
    <row r="289" spans="8:8" ht="35.1" customHeight="1" x14ac:dyDescent="0.3">
      <c r="H289" s="1"/>
    </row>
    <row r="290" spans="8:8" ht="35.1" customHeight="1" x14ac:dyDescent="0.3">
      <c r="H290" s="1"/>
    </row>
    <row r="291" spans="8:8" ht="35.1" customHeight="1" x14ac:dyDescent="0.3">
      <c r="H291" s="1"/>
    </row>
    <row r="292" spans="8:8" ht="35.1" customHeight="1" x14ac:dyDescent="0.3">
      <c r="H292" s="1"/>
    </row>
    <row r="293" spans="8:8" ht="35.1" customHeight="1" x14ac:dyDescent="0.3">
      <c r="H293" s="1"/>
    </row>
    <row r="294" spans="8:8" ht="35.1" customHeight="1" x14ac:dyDescent="0.3">
      <c r="H294" s="1"/>
    </row>
    <row r="295" spans="8:8" ht="35.1" customHeight="1" x14ac:dyDescent="0.3">
      <c r="H295" s="1"/>
    </row>
    <row r="296" spans="8:8" ht="35.1" customHeight="1" x14ac:dyDescent="0.3">
      <c r="H296" s="1"/>
    </row>
    <row r="297" spans="8:8" ht="35.1" customHeight="1" x14ac:dyDescent="0.3">
      <c r="H297" s="1"/>
    </row>
    <row r="298" spans="8:8" ht="35.1" customHeight="1" x14ac:dyDescent="0.3">
      <c r="H298" s="1"/>
    </row>
    <row r="299" spans="8:8" ht="35.1" customHeight="1" x14ac:dyDescent="0.3">
      <c r="H299" s="1"/>
    </row>
    <row r="300" spans="8:8" ht="35.1" customHeight="1" x14ac:dyDescent="0.3">
      <c r="H300" s="1"/>
    </row>
    <row r="301" spans="8:8" ht="35.1" customHeight="1" x14ac:dyDescent="0.3">
      <c r="H301" s="1"/>
    </row>
    <row r="302" spans="8:8" ht="35.1" customHeight="1" x14ac:dyDescent="0.3">
      <c r="H302" s="1"/>
    </row>
    <row r="303" spans="8:8" ht="35.1" customHeight="1" x14ac:dyDescent="0.3">
      <c r="H303" s="1"/>
    </row>
    <row r="304" spans="8:8" ht="35.1" customHeight="1" x14ac:dyDescent="0.3">
      <c r="H304" s="1"/>
    </row>
    <row r="305" spans="8:8" ht="35.1" customHeight="1" x14ac:dyDescent="0.3">
      <c r="H305" s="1"/>
    </row>
    <row r="306" spans="8:8" ht="35.1" customHeight="1" x14ac:dyDescent="0.3">
      <c r="H306" s="1"/>
    </row>
    <row r="307" spans="8:8" ht="35.1" customHeight="1" x14ac:dyDescent="0.3">
      <c r="H307" s="1"/>
    </row>
    <row r="308" spans="8:8" ht="35.1" customHeight="1" x14ac:dyDescent="0.3">
      <c r="H308" s="1"/>
    </row>
    <row r="309" spans="8:8" ht="35.1" customHeight="1" x14ac:dyDescent="0.3">
      <c r="H309" s="1"/>
    </row>
    <row r="310" spans="8:8" ht="35.1" customHeight="1" x14ac:dyDescent="0.3">
      <c r="H310" s="1"/>
    </row>
    <row r="311" spans="8:8" ht="35.1" customHeight="1" x14ac:dyDescent="0.3">
      <c r="H311" s="1"/>
    </row>
    <row r="312" spans="8:8" ht="35.1" customHeight="1" x14ac:dyDescent="0.3">
      <c r="H312" s="1"/>
    </row>
    <row r="313" spans="8:8" ht="35.1" customHeight="1" x14ac:dyDescent="0.3">
      <c r="H313" s="1"/>
    </row>
    <row r="314" spans="8:8" ht="35.1" customHeight="1" x14ac:dyDescent="0.3">
      <c r="H314" s="1"/>
    </row>
    <row r="315" spans="8:8" ht="35.1" customHeight="1" x14ac:dyDescent="0.3">
      <c r="H315" s="1"/>
    </row>
    <row r="316" spans="8:8" ht="35.1" customHeight="1" x14ac:dyDescent="0.3">
      <c r="H316" s="1"/>
    </row>
    <row r="317" spans="8:8" ht="35.1" customHeight="1" x14ac:dyDescent="0.3">
      <c r="H317" s="1"/>
    </row>
    <row r="318" spans="8:8" ht="35.1" customHeight="1" x14ac:dyDescent="0.3">
      <c r="H318" s="1"/>
    </row>
    <row r="319" spans="8:8" ht="35.1" customHeight="1" x14ac:dyDescent="0.3">
      <c r="H319" s="1"/>
    </row>
    <row r="320" spans="8:8" ht="35.1" customHeight="1" x14ac:dyDescent="0.3">
      <c r="H320" s="1"/>
    </row>
    <row r="321" spans="1:600" ht="35.1" customHeight="1" x14ac:dyDescent="0.3">
      <c r="H321" s="1"/>
    </row>
    <row r="322" spans="1:600" ht="35.1" customHeight="1" x14ac:dyDescent="0.3">
      <c r="H322" s="1"/>
    </row>
    <row r="323" spans="1:600" ht="35.1" customHeight="1" x14ac:dyDescent="0.3">
      <c r="H323" s="1"/>
    </row>
    <row r="324" spans="1:600" ht="35.1" customHeight="1" x14ac:dyDescent="0.3">
      <c r="H324" s="1"/>
    </row>
    <row r="325" spans="1:600" ht="35.1" customHeight="1" x14ac:dyDescent="0.3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  <c r="AY325" s="29"/>
      <c r="AZ325" s="29"/>
      <c r="BA325" s="29"/>
      <c r="BB325" s="29"/>
      <c r="BC325" s="29"/>
      <c r="BD325" s="29"/>
      <c r="BE325" s="29"/>
      <c r="BF325" s="29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  <c r="BS325" s="29"/>
      <c r="BT325" s="29"/>
      <c r="BU325" s="29"/>
      <c r="BV325" s="29"/>
      <c r="BW325" s="29"/>
      <c r="BX325" s="29"/>
      <c r="BY325" s="29"/>
      <c r="BZ325" s="29"/>
      <c r="CA325" s="29"/>
      <c r="CB325" s="29"/>
      <c r="CC325" s="29"/>
      <c r="CD325" s="29"/>
      <c r="CE325" s="29"/>
      <c r="CF325" s="29"/>
      <c r="CG325" s="29"/>
      <c r="CH325" s="29"/>
      <c r="CI325" s="29"/>
      <c r="CJ325" s="29"/>
      <c r="CK325" s="29"/>
      <c r="CL325" s="29"/>
      <c r="CM325" s="29"/>
      <c r="CN325" s="29"/>
      <c r="CO325" s="29"/>
      <c r="CP325" s="29"/>
      <c r="CQ325" s="29"/>
      <c r="CR325" s="29"/>
      <c r="CS325" s="29"/>
      <c r="CT325" s="29"/>
      <c r="CU325" s="29"/>
      <c r="CV325" s="29"/>
      <c r="CW325" s="29"/>
      <c r="CX325" s="29"/>
      <c r="CY325" s="29"/>
      <c r="CZ325" s="29"/>
      <c r="DA325" s="29"/>
      <c r="DB325" s="29"/>
      <c r="DC325" s="29"/>
      <c r="DD325" s="29"/>
      <c r="DE325" s="29"/>
      <c r="DF325" s="29"/>
      <c r="DG325" s="29"/>
      <c r="DH325" s="29"/>
      <c r="DI325" s="29"/>
      <c r="DJ325" s="29"/>
      <c r="DK325" s="29"/>
      <c r="DL325" s="29"/>
      <c r="DM325" s="29"/>
      <c r="DN325" s="29"/>
      <c r="DO325" s="29"/>
      <c r="DP325" s="29"/>
      <c r="DQ325" s="29"/>
      <c r="DR325" s="29"/>
      <c r="DS325" s="29"/>
      <c r="DT325" s="29"/>
      <c r="DU325" s="29"/>
      <c r="DV325" s="29"/>
      <c r="DW325" s="29"/>
      <c r="DX325" s="29"/>
      <c r="DY325" s="29"/>
      <c r="DZ325" s="29"/>
      <c r="EA325" s="29"/>
      <c r="EB325" s="29"/>
      <c r="EC325" s="29"/>
      <c r="ED325" s="29"/>
      <c r="EE325" s="29"/>
      <c r="EF325" s="29"/>
      <c r="EG325" s="29"/>
      <c r="EH325" s="29"/>
      <c r="EI325" s="29"/>
      <c r="EJ325" s="29"/>
      <c r="EK325" s="29"/>
      <c r="EL325" s="29"/>
      <c r="EM325" s="29"/>
      <c r="EN325" s="29"/>
      <c r="EO325" s="29"/>
      <c r="EP325" s="29"/>
      <c r="EQ325" s="29"/>
      <c r="ER325" s="29"/>
      <c r="ES325" s="29"/>
      <c r="ET325" s="29"/>
      <c r="EU325" s="29"/>
      <c r="EV325" s="29"/>
      <c r="EW325" s="29"/>
      <c r="EX325" s="29"/>
      <c r="EY325" s="29"/>
      <c r="EZ325" s="29"/>
      <c r="FA325" s="29"/>
      <c r="FB325" s="29"/>
      <c r="FC325" s="29"/>
      <c r="FD325" s="29"/>
      <c r="FE325" s="29"/>
      <c r="FF325" s="29"/>
      <c r="FG325" s="29"/>
      <c r="FH325" s="29"/>
      <c r="FI325" s="29"/>
      <c r="FJ325" s="29"/>
      <c r="FK325" s="29"/>
      <c r="FL325" s="29"/>
      <c r="FM325" s="29"/>
      <c r="FN325" s="29"/>
      <c r="FO325" s="29"/>
      <c r="FP325" s="29"/>
      <c r="FQ325" s="29"/>
      <c r="FR325" s="29"/>
      <c r="FS325" s="29"/>
      <c r="FT325" s="29"/>
      <c r="FU325" s="29"/>
      <c r="FV325" s="29"/>
      <c r="FW325" s="29"/>
      <c r="FX325" s="29"/>
      <c r="FY325" s="29"/>
      <c r="FZ325" s="29"/>
      <c r="GA325" s="29"/>
      <c r="GB325" s="29"/>
      <c r="GC325" s="29"/>
      <c r="GD325" s="29"/>
      <c r="GE325" s="29"/>
      <c r="GF325" s="29"/>
      <c r="GG325" s="29"/>
      <c r="GH325" s="29"/>
      <c r="GI325" s="29"/>
      <c r="GJ325" s="29"/>
      <c r="GK325" s="29"/>
      <c r="GL325" s="29"/>
      <c r="GM325" s="29"/>
      <c r="GN325" s="29"/>
      <c r="GO325" s="29"/>
      <c r="GP325" s="29"/>
      <c r="GQ325" s="29"/>
      <c r="GR325" s="29"/>
      <c r="GS325" s="29"/>
      <c r="GT325" s="29"/>
      <c r="GU325" s="29"/>
      <c r="GV325" s="29"/>
      <c r="GW325" s="29"/>
      <c r="GX325" s="29"/>
      <c r="GY325" s="29"/>
      <c r="GZ325" s="29"/>
      <c r="HA325" s="29"/>
      <c r="HB325" s="29"/>
      <c r="HC325" s="29"/>
      <c r="HD325" s="29"/>
      <c r="HE325" s="29"/>
      <c r="HF325" s="29"/>
      <c r="HG325" s="29"/>
      <c r="HH325" s="29"/>
      <c r="HI325" s="29"/>
      <c r="HJ325" s="29"/>
      <c r="HK325" s="29"/>
      <c r="HL325" s="29"/>
      <c r="HM325" s="29"/>
      <c r="HN325" s="29"/>
      <c r="HO325" s="29"/>
      <c r="HP325" s="29"/>
      <c r="HQ325" s="29"/>
      <c r="HR325" s="29"/>
      <c r="HS325" s="29"/>
      <c r="HT325" s="29"/>
      <c r="HU325" s="29"/>
      <c r="HV325" s="29"/>
      <c r="HW325" s="29"/>
      <c r="HX325" s="29"/>
      <c r="HY325" s="29"/>
      <c r="HZ325" s="29"/>
      <c r="IA325" s="29"/>
      <c r="IB325" s="29"/>
      <c r="IC325" s="29"/>
      <c r="ID325" s="29"/>
      <c r="IE325" s="29"/>
      <c r="IF325" s="29"/>
      <c r="IG325" s="29"/>
      <c r="IH325" s="29"/>
      <c r="II325" s="29"/>
      <c r="IJ325" s="29"/>
      <c r="IK325" s="29"/>
      <c r="IL325" s="29"/>
      <c r="IM325" s="29"/>
      <c r="IN325" s="29"/>
      <c r="IO325" s="29"/>
      <c r="IP325" s="29"/>
      <c r="IQ325" s="29"/>
      <c r="IR325" s="29"/>
      <c r="IS325" s="29"/>
      <c r="IT325" s="29"/>
      <c r="IU325" s="29"/>
      <c r="IV325" s="29"/>
      <c r="IW325" s="29"/>
      <c r="IX325" s="29"/>
      <c r="IY325" s="29"/>
      <c r="IZ325" s="29"/>
      <c r="JA325" s="29"/>
      <c r="JB325" s="29"/>
      <c r="JC325" s="29"/>
      <c r="JD325" s="29"/>
      <c r="JE325" s="29"/>
      <c r="JF325" s="29"/>
      <c r="JG325" s="29"/>
      <c r="JH325" s="29"/>
      <c r="JI325" s="29"/>
      <c r="JJ325" s="29"/>
      <c r="JK325" s="29"/>
      <c r="JL325" s="29"/>
      <c r="JM325" s="29"/>
      <c r="JN325" s="29"/>
      <c r="JO325" s="29"/>
      <c r="JP325" s="29"/>
      <c r="JQ325" s="29"/>
      <c r="JR325" s="29"/>
      <c r="JS325" s="29"/>
      <c r="JT325" s="29"/>
      <c r="JU325" s="29"/>
      <c r="JV325" s="29"/>
      <c r="JW325" s="29"/>
      <c r="JX325" s="29"/>
      <c r="JY325" s="29"/>
      <c r="JZ325" s="29"/>
      <c r="KA325" s="29"/>
      <c r="KB325" s="29"/>
      <c r="KC325" s="29"/>
      <c r="KD325" s="29"/>
      <c r="KE325" s="29"/>
      <c r="KF325" s="29"/>
      <c r="KG325" s="29"/>
      <c r="KH325" s="29"/>
      <c r="KI325" s="29"/>
      <c r="KJ325" s="29"/>
      <c r="KK325" s="29"/>
      <c r="KL325" s="29"/>
      <c r="KM325" s="29"/>
      <c r="KN325" s="29"/>
      <c r="KO325" s="29"/>
      <c r="KP325" s="29"/>
      <c r="KQ325" s="29"/>
      <c r="KR325" s="29"/>
      <c r="KS325" s="29"/>
      <c r="KT325" s="29"/>
      <c r="KU325" s="29"/>
      <c r="KV325" s="29"/>
      <c r="KW325" s="29"/>
      <c r="KX325" s="29"/>
      <c r="KY325" s="29"/>
      <c r="KZ325" s="29"/>
      <c r="LA325" s="29"/>
      <c r="LB325" s="29"/>
      <c r="LC325" s="29"/>
      <c r="LD325" s="29"/>
      <c r="LE325" s="29"/>
      <c r="LF325" s="29"/>
      <c r="LG325" s="29"/>
      <c r="LH325" s="29"/>
      <c r="LI325" s="29"/>
      <c r="LJ325" s="29"/>
      <c r="LK325" s="29"/>
      <c r="LL325" s="29"/>
      <c r="LM325" s="29"/>
      <c r="LN325" s="29"/>
      <c r="LO325" s="29"/>
      <c r="LP325" s="29"/>
      <c r="LQ325" s="29"/>
      <c r="LR325" s="29"/>
      <c r="LS325" s="29"/>
      <c r="LT325" s="29"/>
      <c r="LU325" s="29"/>
      <c r="LV325" s="29"/>
      <c r="LW325" s="29"/>
      <c r="LX325" s="29"/>
      <c r="LY325" s="29"/>
      <c r="LZ325" s="29"/>
      <c r="MA325" s="29"/>
      <c r="MB325" s="29"/>
      <c r="MC325" s="29"/>
      <c r="MD325" s="29"/>
      <c r="ME325" s="29"/>
      <c r="MF325" s="29"/>
      <c r="MG325" s="29"/>
      <c r="MH325" s="29"/>
      <c r="MI325" s="29"/>
      <c r="MJ325" s="29"/>
      <c r="MK325" s="29"/>
      <c r="ML325" s="29"/>
      <c r="MM325" s="29"/>
      <c r="MN325" s="29"/>
      <c r="MO325" s="29"/>
      <c r="MP325" s="29"/>
      <c r="MQ325" s="29"/>
      <c r="MR325" s="29"/>
      <c r="MS325" s="29"/>
      <c r="MT325" s="29"/>
      <c r="MU325" s="29"/>
      <c r="MV325" s="29"/>
      <c r="MW325" s="29"/>
      <c r="MX325" s="29"/>
      <c r="MY325" s="29"/>
      <c r="MZ325" s="29"/>
      <c r="NA325" s="29"/>
      <c r="NB325" s="29"/>
      <c r="NC325" s="29"/>
      <c r="ND325" s="29"/>
      <c r="NE325" s="29"/>
      <c r="NF325" s="29"/>
      <c r="NG325" s="29"/>
      <c r="NH325" s="29"/>
      <c r="NI325" s="29"/>
      <c r="NJ325" s="29"/>
      <c r="NK325" s="29"/>
      <c r="NL325" s="29"/>
      <c r="NM325" s="29"/>
      <c r="NN325" s="29"/>
      <c r="NO325" s="29"/>
      <c r="NP325" s="29"/>
      <c r="NQ325" s="29"/>
      <c r="NR325" s="29"/>
      <c r="NS325" s="29"/>
      <c r="NT325" s="29"/>
      <c r="NU325" s="29"/>
      <c r="NV325" s="29"/>
      <c r="NW325" s="29"/>
      <c r="NX325" s="29"/>
      <c r="NY325" s="29"/>
      <c r="NZ325" s="29"/>
      <c r="OA325" s="29"/>
      <c r="OB325" s="29"/>
      <c r="OC325" s="29"/>
      <c r="OD325" s="29"/>
      <c r="OE325" s="29"/>
      <c r="OF325" s="29"/>
      <c r="OG325" s="29"/>
      <c r="OH325" s="29"/>
      <c r="OI325" s="29"/>
      <c r="OJ325" s="29"/>
      <c r="OK325" s="29"/>
      <c r="OL325" s="29"/>
      <c r="OM325" s="29"/>
      <c r="ON325" s="29"/>
      <c r="OO325" s="29"/>
      <c r="OP325" s="29"/>
      <c r="OQ325" s="29"/>
      <c r="OR325" s="29"/>
      <c r="OS325" s="29"/>
      <c r="OT325" s="29"/>
      <c r="OU325" s="29"/>
      <c r="OV325" s="29"/>
      <c r="OW325" s="29"/>
      <c r="OX325" s="29"/>
      <c r="OY325" s="29"/>
      <c r="OZ325" s="29"/>
      <c r="PA325" s="29"/>
      <c r="PB325" s="29"/>
      <c r="PC325" s="29"/>
      <c r="PD325" s="29"/>
      <c r="PE325" s="29"/>
      <c r="PF325" s="29"/>
      <c r="PG325" s="29"/>
      <c r="PH325" s="29"/>
      <c r="PI325" s="29"/>
      <c r="PJ325" s="29"/>
      <c r="PK325" s="29"/>
      <c r="PL325" s="29"/>
      <c r="PM325" s="29"/>
      <c r="PN325" s="29"/>
      <c r="PO325" s="29"/>
      <c r="PP325" s="29"/>
      <c r="PQ325" s="29"/>
      <c r="PR325" s="29"/>
      <c r="PS325" s="29"/>
      <c r="PT325" s="29"/>
      <c r="PU325" s="29"/>
      <c r="PV325" s="29"/>
      <c r="PW325" s="29"/>
      <c r="PX325" s="29"/>
      <c r="PY325" s="29"/>
      <c r="PZ325" s="29"/>
      <c r="QA325" s="29"/>
      <c r="QB325" s="29"/>
      <c r="QC325" s="29"/>
      <c r="QD325" s="29"/>
      <c r="QE325" s="29"/>
      <c r="QF325" s="29"/>
      <c r="QG325" s="29"/>
      <c r="QH325" s="29"/>
      <c r="QI325" s="29"/>
      <c r="QJ325" s="29"/>
      <c r="QK325" s="29"/>
      <c r="QL325" s="29"/>
      <c r="QM325" s="29"/>
      <c r="QN325" s="29"/>
      <c r="QO325" s="29"/>
      <c r="QP325" s="29"/>
      <c r="QQ325" s="29"/>
      <c r="QR325" s="29"/>
      <c r="QS325" s="29"/>
      <c r="QT325" s="29"/>
      <c r="QU325" s="29"/>
      <c r="QV325" s="29"/>
      <c r="QW325" s="29"/>
      <c r="QX325" s="29"/>
      <c r="QY325" s="29"/>
      <c r="QZ325" s="29"/>
      <c r="RA325" s="29"/>
      <c r="RB325" s="29"/>
      <c r="RC325" s="29"/>
      <c r="RD325" s="29"/>
      <c r="RE325" s="29"/>
      <c r="RF325" s="29"/>
      <c r="RG325" s="29"/>
      <c r="RH325" s="29"/>
      <c r="RI325" s="29"/>
      <c r="RJ325" s="29"/>
      <c r="RK325" s="29"/>
      <c r="RL325" s="29"/>
      <c r="RM325" s="29"/>
      <c r="RN325" s="29"/>
      <c r="RO325" s="29"/>
      <c r="RP325" s="29"/>
      <c r="RQ325" s="29"/>
      <c r="RR325" s="29"/>
      <c r="RS325" s="29"/>
      <c r="RT325" s="29"/>
      <c r="RU325" s="29"/>
      <c r="RV325" s="29"/>
      <c r="RW325" s="29"/>
      <c r="RX325" s="29"/>
      <c r="RY325" s="29"/>
      <c r="RZ325" s="29"/>
      <c r="SA325" s="29"/>
      <c r="SB325" s="29"/>
      <c r="SC325" s="29"/>
      <c r="SD325" s="29"/>
      <c r="SE325" s="29"/>
      <c r="SF325" s="29"/>
      <c r="SG325" s="29"/>
      <c r="SH325" s="29"/>
      <c r="SI325" s="29"/>
      <c r="SJ325" s="29"/>
      <c r="SK325" s="29"/>
      <c r="SL325" s="29"/>
      <c r="SM325" s="29"/>
      <c r="SN325" s="29"/>
      <c r="SO325" s="29"/>
      <c r="SP325" s="29"/>
      <c r="SQ325" s="29"/>
      <c r="SR325" s="29"/>
      <c r="SS325" s="29"/>
      <c r="ST325" s="29"/>
      <c r="SU325" s="29"/>
      <c r="SV325" s="29"/>
      <c r="SW325" s="29"/>
      <c r="SX325" s="29"/>
      <c r="SY325" s="29"/>
      <c r="SZ325" s="29"/>
      <c r="TA325" s="29"/>
      <c r="TB325" s="29"/>
      <c r="TC325" s="29"/>
      <c r="TD325" s="29"/>
      <c r="TE325" s="29"/>
      <c r="TF325" s="29"/>
      <c r="TG325" s="29"/>
      <c r="TH325" s="29"/>
      <c r="TI325" s="29"/>
      <c r="TJ325" s="29"/>
      <c r="TK325" s="29"/>
      <c r="TL325" s="29"/>
      <c r="TM325" s="29"/>
      <c r="TN325" s="29"/>
      <c r="TO325" s="29"/>
      <c r="TP325" s="29"/>
      <c r="TQ325" s="29"/>
      <c r="TR325" s="29"/>
      <c r="TS325" s="29"/>
      <c r="TT325" s="29"/>
      <c r="TU325" s="29"/>
      <c r="TV325" s="29"/>
      <c r="TW325" s="29"/>
      <c r="TX325" s="29"/>
      <c r="TY325" s="29"/>
      <c r="TZ325" s="29"/>
      <c r="UA325" s="29"/>
      <c r="UB325" s="29"/>
      <c r="UC325" s="29"/>
      <c r="UD325" s="29"/>
      <c r="UE325" s="29"/>
      <c r="UF325" s="29"/>
      <c r="UG325" s="29"/>
      <c r="UH325" s="29"/>
      <c r="UI325" s="29"/>
      <c r="UJ325" s="29"/>
      <c r="UK325" s="29"/>
      <c r="UL325" s="29"/>
      <c r="UM325" s="29"/>
      <c r="UN325" s="29"/>
      <c r="UO325" s="29"/>
      <c r="UP325" s="29"/>
      <c r="UQ325" s="29"/>
      <c r="UR325" s="29"/>
      <c r="US325" s="29"/>
      <c r="UT325" s="29"/>
      <c r="UU325" s="29"/>
      <c r="UV325" s="29"/>
      <c r="UW325" s="29"/>
      <c r="UX325" s="29"/>
      <c r="UY325" s="29"/>
      <c r="UZ325" s="29"/>
      <c r="VA325" s="29"/>
      <c r="VB325" s="29"/>
      <c r="VC325" s="29"/>
      <c r="VD325" s="29"/>
      <c r="VE325" s="29"/>
      <c r="VF325" s="29"/>
      <c r="VG325" s="29"/>
      <c r="VH325" s="29"/>
      <c r="VI325" s="29"/>
      <c r="VJ325" s="29"/>
      <c r="VK325" s="29"/>
      <c r="VL325" s="29"/>
      <c r="VM325" s="29"/>
      <c r="VN325" s="29"/>
      <c r="VO325" s="29"/>
      <c r="VP325" s="29"/>
      <c r="VQ325" s="29"/>
      <c r="VR325" s="29"/>
      <c r="VS325" s="29"/>
      <c r="VT325" s="29"/>
      <c r="VU325" s="29"/>
      <c r="VV325" s="29"/>
      <c r="VW325" s="29"/>
      <c r="VX325" s="29"/>
      <c r="VY325" s="29"/>
      <c r="VZ325" s="29"/>
      <c r="WA325" s="29"/>
      <c r="WB325" s="29"/>
    </row>
    <row r="326" spans="1:600" ht="35.1" customHeight="1" x14ac:dyDescent="0.3">
      <c r="H326" s="1"/>
    </row>
    <row r="327" spans="1:600" ht="35.1" customHeight="1" x14ac:dyDescent="0.3">
      <c r="H327" s="1"/>
    </row>
    <row r="328" spans="1:600" ht="35.1" customHeight="1" x14ac:dyDescent="0.3">
      <c r="H328" s="1"/>
    </row>
    <row r="329" spans="1:600" ht="35.1" customHeight="1" x14ac:dyDescent="0.3">
      <c r="H329" s="1"/>
    </row>
    <row r="330" spans="1:600" ht="35.1" customHeight="1" x14ac:dyDescent="0.3">
      <c r="H330" s="1"/>
    </row>
    <row r="331" spans="1:600" ht="35.1" customHeight="1" x14ac:dyDescent="0.3">
      <c r="H331" s="1"/>
    </row>
    <row r="332" spans="1:600" ht="35.1" customHeight="1" x14ac:dyDescent="0.3">
      <c r="H332" s="1"/>
    </row>
    <row r="333" spans="1:600" ht="35.1" customHeight="1" x14ac:dyDescent="0.3">
      <c r="H333" s="1"/>
    </row>
    <row r="334" spans="1:600" ht="35.1" customHeight="1" x14ac:dyDescent="0.3">
      <c r="H334" s="1"/>
    </row>
    <row r="335" spans="1:600" ht="35.1" customHeight="1" x14ac:dyDescent="0.3">
      <c r="H335" s="1"/>
    </row>
    <row r="336" spans="1:600" ht="35.1" customHeight="1" x14ac:dyDescent="0.3">
      <c r="H336" s="1"/>
    </row>
    <row r="337" spans="8:8" ht="35.1" customHeight="1" x14ac:dyDescent="0.3">
      <c r="H337" s="1"/>
    </row>
    <row r="338" spans="8:8" ht="35.1" customHeight="1" x14ac:dyDescent="0.3">
      <c r="H338" s="1"/>
    </row>
    <row r="339" spans="8:8" ht="35.1" customHeight="1" x14ac:dyDescent="0.3">
      <c r="H339" s="1"/>
    </row>
    <row r="340" spans="8:8" ht="35.1" customHeight="1" x14ac:dyDescent="0.3">
      <c r="H340" s="1"/>
    </row>
    <row r="341" spans="8:8" ht="35.1" customHeight="1" x14ac:dyDescent="0.3">
      <c r="H341" s="1"/>
    </row>
    <row r="342" spans="8:8" ht="35.1" customHeight="1" x14ac:dyDescent="0.3">
      <c r="H342" s="1"/>
    </row>
    <row r="343" spans="8:8" ht="35.1" customHeight="1" x14ac:dyDescent="0.3">
      <c r="H343" s="1"/>
    </row>
    <row r="344" spans="8:8" ht="35.1" customHeight="1" x14ac:dyDescent="0.3">
      <c r="H344" s="1"/>
    </row>
    <row r="345" spans="8:8" ht="35.1" customHeight="1" x14ac:dyDescent="0.3">
      <c r="H345" s="1"/>
    </row>
    <row r="346" spans="8:8" ht="35.1" customHeight="1" x14ac:dyDescent="0.3">
      <c r="H346" s="1"/>
    </row>
    <row r="347" spans="8:8" ht="35.1" customHeight="1" x14ac:dyDescent="0.3">
      <c r="H347" s="1"/>
    </row>
    <row r="348" spans="8:8" ht="35.1" customHeight="1" x14ac:dyDescent="0.3">
      <c r="H348" s="1"/>
    </row>
    <row r="349" spans="8:8" ht="35.1" customHeight="1" x14ac:dyDescent="0.3">
      <c r="H349" s="1"/>
    </row>
    <row r="350" spans="8:8" ht="35.1" customHeight="1" x14ac:dyDescent="0.3">
      <c r="H350" s="1"/>
    </row>
    <row r="351" spans="8:8" ht="35.1" customHeight="1" x14ac:dyDescent="0.3">
      <c r="H351" s="1"/>
    </row>
    <row r="352" spans="8:8" ht="35.1" customHeight="1" x14ac:dyDescent="0.3">
      <c r="H352" s="1"/>
    </row>
    <row r="353" spans="8:8" ht="35.1" customHeight="1" x14ac:dyDescent="0.3">
      <c r="H353" s="1"/>
    </row>
    <row r="354" spans="8:8" ht="35.1" customHeight="1" x14ac:dyDescent="0.3">
      <c r="H354" s="1"/>
    </row>
    <row r="355" spans="8:8" ht="35.1" customHeight="1" x14ac:dyDescent="0.3">
      <c r="H355" s="1"/>
    </row>
    <row r="356" spans="8:8" ht="35.1" customHeight="1" x14ac:dyDescent="0.3">
      <c r="H356" s="1"/>
    </row>
    <row r="357" spans="8:8" ht="35.1" customHeight="1" x14ac:dyDescent="0.3">
      <c r="H357" s="1"/>
    </row>
    <row r="358" spans="8:8" ht="35.1" customHeight="1" x14ac:dyDescent="0.3">
      <c r="H358" s="1"/>
    </row>
    <row r="359" spans="8:8" ht="35.1" customHeight="1" x14ac:dyDescent="0.3">
      <c r="H359" s="1"/>
    </row>
    <row r="360" spans="8:8" ht="35.1" customHeight="1" x14ac:dyDescent="0.3">
      <c r="H360" s="1"/>
    </row>
    <row r="361" spans="8:8" ht="35.1" customHeight="1" x14ac:dyDescent="0.3">
      <c r="H361" s="1"/>
    </row>
    <row r="362" spans="8:8" ht="35.1" customHeight="1" x14ac:dyDescent="0.3">
      <c r="H362" s="1"/>
    </row>
    <row r="363" spans="8:8" ht="35.1" customHeight="1" x14ac:dyDescent="0.3">
      <c r="H363" s="1"/>
    </row>
    <row r="364" spans="8:8" ht="35.1" customHeight="1" x14ac:dyDescent="0.3">
      <c r="H364" s="1"/>
    </row>
    <row r="365" spans="8:8" ht="35.1" customHeight="1" x14ac:dyDescent="0.3">
      <c r="H365" s="1"/>
    </row>
    <row r="366" spans="8:8" ht="35.1" customHeight="1" x14ac:dyDescent="0.3">
      <c r="H366" s="1"/>
    </row>
    <row r="367" spans="8:8" ht="35.1" customHeight="1" x14ac:dyDescent="0.3">
      <c r="H367" s="1"/>
    </row>
    <row r="368" spans="8:8" ht="35.1" customHeight="1" x14ac:dyDescent="0.3">
      <c r="H368" s="1"/>
    </row>
    <row r="369" spans="8:8" ht="35.1" customHeight="1" x14ac:dyDescent="0.3">
      <c r="H369" s="1"/>
    </row>
    <row r="370" spans="8:8" ht="35.1" customHeight="1" x14ac:dyDescent="0.3">
      <c r="H370" s="1"/>
    </row>
    <row r="371" spans="8:8" ht="35.1" customHeight="1" x14ac:dyDescent="0.3">
      <c r="H371" s="1"/>
    </row>
    <row r="372" spans="8:8" ht="35.1" customHeight="1" x14ac:dyDescent="0.3">
      <c r="H372" s="1"/>
    </row>
    <row r="373" spans="8:8" ht="35.1" customHeight="1" x14ac:dyDescent="0.3">
      <c r="H373" s="1"/>
    </row>
    <row r="374" spans="8:8" ht="35.1" customHeight="1" x14ac:dyDescent="0.3">
      <c r="H374" s="1"/>
    </row>
    <row r="375" spans="8:8" ht="35.1" customHeight="1" x14ac:dyDescent="0.3">
      <c r="H375" s="1"/>
    </row>
    <row r="376" spans="8:8" ht="35.1" customHeight="1" x14ac:dyDescent="0.3">
      <c r="H376" s="1"/>
    </row>
    <row r="377" spans="8:8" ht="35.1" customHeight="1" x14ac:dyDescent="0.3">
      <c r="H377" s="1"/>
    </row>
    <row r="378" spans="8:8" ht="35.1" customHeight="1" x14ac:dyDescent="0.3">
      <c r="H378" s="1"/>
    </row>
    <row r="379" spans="8:8" ht="35.1" customHeight="1" x14ac:dyDescent="0.3">
      <c r="H379" s="1"/>
    </row>
    <row r="380" spans="8:8" ht="35.1" customHeight="1" x14ac:dyDescent="0.3">
      <c r="H380" s="1"/>
    </row>
    <row r="381" spans="8:8" ht="35.1" customHeight="1" x14ac:dyDescent="0.3">
      <c r="H381" s="1"/>
    </row>
    <row r="382" spans="8:8" ht="35.1" customHeight="1" x14ac:dyDescent="0.3">
      <c r="H382" s="1"/>
    </row>
    <row r="383" spans="8:8" ht="35.1" customHeight="1" x14ac:dyDescent="0.3">
      <c r="H383" s="1"/>
    </row>
    <row r="384" spans="8:8" ht="35.1" customHeight="1" x14ac:dyDescent="0.3">
      <c r="H384" s="1"/>
    </row>
    <row r="385" spans="1:600" ht="35.1" customHeight="1" x14ac:dyDescent="0.3">
      <c r="H385" s="1"/>
    </row>
    <row r="386" spans="1:600" ht="35.1" customHeight="1" x14ac:dyDescent="0.3">
      <c r="H386" s="1"/>
    </row>
    <row r="387" spans="1:600" ht="35.1" customHeight="1" x14ac:dyDescent="0.3">
      <c r="H387" s="1"/>
    </row>
    <row r="388" spans="1:600" ht="35.1" customHeight="1" x14ac:dyDescent="0.3">
      <c r="H388" s="1"/>
    </row>
    <row r="389" spans="1:600" ht="35.1" customHeight="1" x14ac:dyDescent="0.3">
      <c r="H389" s="1"/>
    </row>
    <row r="390" spans="1:600" ht="35.1" customHeight="1" x14ac:dyDescent="0.3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  <c r="AX390" s="29"/>
      <c r="AY390" s="29"/>
      <c r="AZ390" s="29"/>
      <c r="BA390" s="29"/>
      <c r="BB390" s="29"/>
      <c r="BC390" s="29"/>
      <c r="BD390" s="29"/>
      <c r="BE390" s="29"/>
      <c r="BF390" s="29"/>
      <c r="BG390" s="29"/>
      <c r="BH390" s="29"/>
      <c r="BI390" s="29"/>
      <c r="BJ390" s="29"/>
      <c r="BK390" s="29"/>
      <c r="BL390" s="29"/>
      <c r="BM390" s="29"/>
      <c r="BN390" s="29"/>
      <c r="BO390" s="29"/>
      <c r="BP390" s="29"/>
      <c r="BQ390" s="29"/>
      <c r="BR390" s="29"/>
      <c r="BS390" s="29"/>
      <c r="BT390" s="29"/>
      <c r="BU390" s="29"/>
      <c r="BV390" s="29"/>
      <c r="BW390" s="29"/>
      <c r="BX390" s="29"/>
      <c r="BY390" s="29"/>
      <c r="BZ390" s="29"/>
      <c r="CA390" s="29"/>
      <c r="CB390" s="29"/>
      <c r="CC390" s="29"/>
      <c r="CD390" s="29"/>
      <c r="CE390" s="29"/>
      <c r="CF390" s="29"/>
      <c r="CG390" s="29"/>
      <c r="CH390" s="29"/>
      <c r="CI390" s="29"/>
      <c r="CJ390" s="29"/>
      <c r="CK390" s="29"/>
      <c r="CL390" s="29"/>
      <c r="CM390" s="29"/>
      <c r="CN390" s="29"/>
      <c r="CO390" s="29"/>
      <c r="CP390" s="29"/>
      <c r="CQ390" s="29"/>
      <c r="CR390" s="29"/>
      <c r="CS390" s="29"/>
      <c r="CT390" s="29"/>
      <c r="CU390" s="29"/>
      <c r="CV390" s="29"/>
      <c r="CW390" s="29"/>
      <c r="CX390" s="29"/>
      <c r="CY390" s="29"/>
      <c r="CZ390" s="29"/>
      <c r="DA390" s="29"/>
      <c r="DB390" s="29"/>
      <c r="DC390" s="29"/>
      <c r="DD390" s="29"/>
      <c r="DE390" s="29"/>
      <c r="DF390" s="29"/>
      <c r="DG390" s="29"/>
      <c r="DH390" s="29"/>
      <c r="DI390" s="29"/>
      <c r="DJ390" s="29"/>
      <c r="DK390" s="29"/>
      <c r="DL390" s="29"/>
      <c r="DM390" s="29"/>
      <c r="DN390" s="29"/>
      <c r="DO390" s="29"/>
      <c r="DP390" s="29"/>
      <c r="DQ390" s="29"/>
      <c r="DR390" s="29"/>
      <c r="DS390" s="29"/>
      <c r="DT390" s="29"/>
      <c r="DU390" s="29"/>
      <c r="DV390" s="29"/>
      <c r="DW390" s="29"/>
      <c r="DX390" s="29"/>
      <c r="DY390" s="29"/>
      <c r="DZ390" s="29"/>
      <c r="EA390" s="29"/>
      <c r="EB390" s="29"/>
      <c r="EC390" s="29"/>
      <c r="ED390" s="29"/>
      <c r="EE390" s="29"/>
      <c r="EF390" s="29"/>
      <c r="EG390" s="29"/>
      <c r="EH390" s="29"/>
      <c r="EI390" s="29"/>
      <c r="EJ390" s="29"/>
      <c r="EK390" s="29"/>
      <c r="EL390" s="29"/>
      <c r="EM390" s="29"/>
      <c r="EN390" s="29"/>
      <c r="EO390" s="29"/>
      <c r="EP390" s="29"/>
      <c r="EQ390" s="29"/>
      <c r="ER390" s="29"/>
      <c r="ES390" s="29"/>
      <c r="ET390" s="29"/>
      <c r="EU390" s="29"/>
      <c r="EV390" s="29"/>
      <c r="EW390" s="29"/>
      <c r="EX390" s="29"/>
      <c r="EY390" s="29"/>
      <c r="EZ390" s="29"/>
      <c r="FA390" s="29"/>
      <c r="FB390" s="29"/>
      <c r="FC390" s="29"/>
      <c r="FD390" s="29"/>
      <c r="FE390" s="29"/>
      <c r="FF390" s="29"/>
      <c r="FG390" s="29"/>
      <c r="FH390" s="29"/>
      <c r="FI390" s="29"/>
      <c r="FJ390" s="29"/>
      <c r="FK390" s="29"/>
      <c r="FL390" s="29"/>
      <c r="FM390" s="29"/>
      <c r="FN390" s="29"/>
      <c r="FO390" s="29"/>
      <c r="FP390" s="29"/>
      <c r="FQ390" s="29"/>
      <c r="FR390" s="29"/>
      <c r="FS390" s="29"/>
      <c r="FT390" s="29"/>
      <c r="FU390" s="29"/>
      <c r="FV390" s="29"/>
      <c r="FW390" s="29"/>
      <c r="FX390" s="29"/>
      <c r="FY390" s="29"/>
      <c r="FZ390" s="29"/>
      <c r="GA390" s="29"/>
      <c r="GB390" s="29"/>
      <c r="GC390" s="29"/>
      <c r="GD390" s="29"/>
      <c r="GE390" s="29"/>
      <c r="GF390" s="29"/>
      <c r="GG390" s="29"/>
      <c r="GH390" s="29"/>
      <c r="GI390" s="29"/>
      <c r="GJ390" s="29"/>
      <c r="GK390" s="29"/>
      <c r="GL390" s="29"/>
      <c r="GM390" s="29"/>
      <c r="GN390" s="29"/>
      <c r="GO390" s="29"/>
      <c r="GP390" s="29"/>
      <c r="GQ390" s="29"/>
      <c r="GR390" s="29"/>
      <c r="GS390" s="29"/>
      <c r="GT390" s="29"/>
      <c r="GU390" s="29"/>
      <c r="GV390" s="29"/>
      <c r="GW390" s="29"/>
      <c r="GX390" s="29"/>
      <c r="GY390" s="29"/>
      <c r="GZ390" s="29"/>
      <c r="HA390" s="29"/>
      <c r="HB390" s="29"/>
      <c r="HC390" s="29"/>
      <c r="HD390" s="29"/>
      <c r="HE390" s="29"/>
      <c r="HF390" s="29"/>
      <c r="HG390" s="29"/>
      <c r="HH390" s="29"/>
      <c r="HI390" s="29"/>
      <c r="HJ390" s="29"/>
      <c r="HK390" s="29"/>
      <c r="HL390" s="29"/>
      <c r="HM390" s="29"/>
      <c r="HN390" s="29"/>
      <c r="HO390" s="29"/>
      <c r="HP390" s="29"/>
      <c r="HQ390" s="29"/>
      <c r="HR390" s="29"/>
      <c r="HS390" s="29"/>
      <c r="HT390" s="29"/>
      <c r="HU390" s="29"/>
      <c r="HV390" s="29"/>
      <c r="HW390" s="29"/>
      <c r="HX390" s="29"/>
      <c r="HY390" s="29"/>
      <c r="HZ390" s="29"/>
      <c r="IA390" s="29"/>
      <c r="IB390" s="29"/>
      <c r="IC390" s="29"/>
      <c r="ID390" s="29"/>
      <c r="IE390" s="29"/>
      <c r="IF390" s="29"/>
      <c r="IG390" s="29"/>
      <c r="IH390" s="29"/>
      <c r="II390" s="29"/>
      <c r="IJ390" s="29"/>
      <c r="IK390" s="29"/>
      <c r="IL390" s="29"/>
      <c r="IM390" s="29"/>
      <c r="IN390" s="29"/>
      <c r="IO390" s="29"/>
      <c r="IP390" s="29"/>
      <c r="IQ390" s="29"/>
      <c r="IR390" s="29"/>
      <c r="IS390" s="29"/>
      <c r="IT390" s="29"/>
      <c r="IU390" s="29"/>
      <c r="IV390" s="29"/>
      <c r="IW390" s="29"/>
      <c r="IX390" s="29"/>
      <c r="IY390" s="29"/>
      <c r="IZ390" s="29"/>
      <c r="JA390" s="29"/>
      <c r="JB390" s="29"/>
      <c r="JC390" s="29"/>
      <c r="JD390" s="29"/>
      <c r="JE390" s="29"/>
      <c r="JF390" s="29"/>
      <c r="JG390" s="29"/>
      <c r="JH390" s="29"/>
      <c r="JI390" s="29"/>
      <c r="JJ390" s="29"/>
      <c r="JK390" s="29"/>
      <c r="JL390" s="29"/>
      <c r="JM390" s="29"/>
      <c r="JN390" s="29"/>
      <c r="JO390" s="29"/>
      <c r="JP390" s="29"/>
      <c r="JQ390" s="29"/>
      <c r="JR390" s="29"/>
      <c r="JS390" s="29"/>
      <c r="JT390" s="29"/>
      <c r="JU390" s="29"/>
      <c r="JV390" s="29"/>
      <c r="JW390" s="29"/>
      <c r="JX390" s="29"/>
      <c r="JY390" s="29"/>
      <c r="JZ390" s="29"/>
      <c r="KA390" s="29"/>
      <c r="KB390" s="29"/>
      <c r="KC390" s="29"/>
      <c r="KD390" s="29"/>
      <c r="KE390" s="29"/>
      <c r="KF390" s="29"/>
      <c r="KG390" s="29"/>
      <c r="KH390" s="29"/>
      <c r="KI390" s="29"/>
      <c r="KJ390" s="29"/>
      <c r="KK390" s="29"/>
      <c r="KL390" s="29"/>
      <c r="KM390" s="29"/>
      <c r="KN390" s="29"/>
      <c r="KO390" s="29"/>
      <c r="KP390" s="29"/>
      <c r="KQ390" s="29"/>
      <c r="KR390" s="29"/>
      <c r="KS390" s="29"/>
      <c r="KT390" s="29"/>
      <c r="KU390" s="29"/>
      <c r="KV390" s="29"/>
      <c r="KW390" s="29"/>
      <c r="KX390" s="29"/>
      <c r="KY390" s="29"/>
      <c r="KZ390" s="29"/>
      <c r="LA390" s="29"/>
      <c r="LB390" s="29"/>
      <c r="LC390" s="29"/>
      <c r="LD390" s="29"/>
      <c r="LE390" s="29"/>
      <c r="LF390" s="29"/>
      <c r="LG390" s="29"/>
      <c r="LH390" s="29"/>
      <c r="LI390" s="29"/>
      <c r="LJ390" s="29"/>
      <c r="LK390" s="29"/>
      <c r="LL390" s="29"/>
      <c r="LM390" s="29"/>
      <c r="LN390" s="29"/>
      <c r="LO390" s="29"/>
      <c r="LP390" s="29"/>
      <c r="LQ390" s="29"/>
      <c r="LR390" s="29"/>
      <c r="LS390" s="29"/>
      <c r="LT390" s="29"/>
      <c r="LU390" s="29"/>
      <c r="LV390" s="29"/>
      <c r="LW390" s="29"/>
      <c r="LX390" s="29"/>
      <c r="LY390" s="29"/>
      <c r="LZ390" s="29"/>
      <c r="MA390" s="29"/>
      <c r="MB390" s="29"/>
      <c r="MC390" s="29"/>
      <c r="MD390" s="29"/>
      <c r="ME390" s="29"/>
      <c r="MF390" s="29"/>
      <c r="MG390" s="29"/>
      <c r="MH390" s="29"/>
      <c r="MI390" s="29"/>
      <c r="MJ390" s="29"/>
      <c r="MK390" s="29"/>
      <c r="ML390" s="29"/>
      <c r="MM390" s="29"/>
      <c r="MN390" s="29"/>
      <c r="MO390" s="29"/>
      <c r="MP390" s="29"/>
      <c r="MQ390" s="29"/>
      <c r="MR390" s="29"/>
      <c r="MS390" s="29"/>
      <c r="MT390" s="29"/>
      <c r="MU390" s="29"/>
      <c r="MV390" s="29"/>
      <c r="MW390" s="29"/>
      <c r="MX390" s="29"/>
      <c r="MY390" s="29"/>
      <c r="MZ390" s="29"/>
      <c r="NA390" s="29"/>
      <c r="NB390" s="29"/>
      <c r="NC390" s="29"/>
      <c r="ND390" s="29"/>
      <c r="NE390" s="29"/>
      <c r="NF390" s="29"/>
      <c r="NG390" s="29"/>
      <c r="NH390" s="29"/>
      <c r="NI390" s="29"/>
      <c r="NJ390" s="29"/>
      <c r="NK390" s="29"/>
      <c r="NL390" s="29"/>
      <c r="NM390" s="29"/>
      <c r="NN390" s="29"/>
      <c r="NO390" s="29"/>
      <c r="NP390" s="29"/>
      <c r="NQ390" s="29"/>
      <c r="NR390" s="29"/>
      <c r="NS390" s="29"/>
      <c r="NT390" s="29"/>
      <c r="NU390" s="29"/>
      <c r="NV390" s="29"/>
      <c r="NW390" s="29"/>
      <c r="NX390" s="29"/>
      <c r="NY390" s="29"/>
      <c r="NZ390" s="29"/>
      <c r="OA390" s="29"/>
      <c r="OB390" s="29"/>
      <c r="OC390" s="29"/>
      <c r="OD390" s="29"/>
      <c r="OE390" s="29"/>
      <c r="OF390" s="29"/>
      <c r="OG390" s="29"/>
      <c r="OH390" s="29"/>
      <c r="OI390" s="29"/>
      <c r="OJ390" s="29"/>
      <c r="OK390" s="29"/>
      <c r="OL390" s="29"/>
      <c r="OM390" s="29"/>
      <c r="ON390" s="29"/>
      <c r="OO390" s="29"/>
      <c r="OP390" s="29"/>
      <c r="OQ390" s="29"/>
      <c r="OR390" s="29"/>
      <c r="OS390" s="29"/>
      <c r="OT390" s="29"/>
      <c r="OU390" s="29"/>
      <c r="OV390" s="29"/>
      <c r="OW390" s="29"/>
      <c r="OX390" s="29"/>
      <c r="OY390" s="29"/>
      <c r="OZ390" s="29"/>
      <c r="PA390" s="29"/>
      <c r="PB390" s="29"/>
      <c r="PC390" s="29"/>
      <c r="PD390" s="29"/>
      <c r="PE390" s="29"/>
      <c r="PF390" s="29"/>
      <c r="PG390" s="29"/>
      <c r="PH390" s="29"/>
      <c r="PI390" s="29"/>
      <c r="PJ390" s="29"/>
      <c r="PK390" s="29"/>
      <c r="PL390" s="29"/>
      <c r="PM390" s="29"/>
      <c r="PN390" s="29"/>
      <c r="PO390" s="29"/>
      <c r="PP390" s="29"/>
      <c r="PQ390" s="29"/>
      <c r="PR390" s="29"/>
      <c r="PS390" s="29"/>
      <c r="PT390" s="29"/>
      <c r="PU390" s="29"/>
      <c r="PV390" s="29"/>
      <c r="PW390" s="29"/>
      <c r="PX390" s="29"/>
      <c r="PY390" s="29"/>
      <c r="PZ390" s="29"/>
      <c r="QA390" s="29"/>
      <c r="QB390" s="29"/>
      <c r="QC390" s="29"/>
      <c r="QD390" s="29"/>
      <c r="QE390" s="29"/>
      <c r="QF390" s="29"/>
      <c r="QG390" s="29"/>
      <c r="QH390" s="29"/>
      <c r="QI390" s="29"/>
      <c r="QJ390" s="29"/>
      <c r="QK390" s="29"/>
      <c r="QL390" s="29"/>
      <c r="QM390" s="29"/>
      <c r="QN390" s="29"/>
      <c r="QO390" s="29"/>
      <c r="QP390" s="29"/>
      <c r="QQ390" s="29"/>
      <c r="QR390" s="29"/>
      <c r="QS390" s="29"/>
      <c r="QT390" s="29"/>
      <c r="QU390" s="29"/>
      <c r="QV390" s="29"/>
      <c r="QW390" s="29"/>
      <c r="QX390" s="29"/>
      <c r="QY390" s="29"/>
      <c r="QZ390" s="29"/>
      <c r="RA390" s="29"/>
      <c r="RB390" s="29"/>
      <c r="RC390" s="29"/>
      <c r="RD390" s="29"/>
      <c r="RE390" s="29"/>
      <c r="RF390" s="29"/>
      <c r="RG390" s="29"/>
      <c r="RH390" s="29"/>
      <c r="RI390" s="29"/>
      <c r="RJ390" s="29"/>
      <c r="RK390" s="29"/>
      <c r="RL390" s="29"/>
      <c r="RM390" s="29"/>
      <c r="RN390" s="29"/>
      <c r="RO390" s="29"/>
      <c r="RP390" s="29"/>
      <c r="RQ390" s="29"/>
      <c r="RR390" s="29"/>
      <c r="RS390" s="29"/>
      <c r="RT390" s="29"/>
      <c r="RU390" s="29"/>
      <c r="RV390" s="29"/>
      <c r="RW390" s="29"/>
      <c r="RX390" s="29"/>
      <c r="RY390" s="29"/>
      <c r="RZ390" s="29"/>
      <c r="SA390" s="29"/>
      <c r="SB390" s="29"/>
      <c r="SC390" s="29"/>
      <c r="SD390" s="29"/>
      <c r="SE390" s="29"/>
      <c r="SF390" s="29"/>
      <c r="SG390" s="29"/>
      <c r="SH390" s="29"/>
      <c r="SI390" s="29"/>
      <c r="SJ390" s="29"/>
      <c r="SK390" s="29"/>
      <c r="SL390" s="29"/>
      <c r="SM390" s="29"/>
      <c r="SN390" s="29"/>
      <c r="SO390" s="29"/>
      <c r="SP390" s="29"/>
      <c r="SQ390" s="29"/>
      <c r="SR390" s="29"/>
      <c r="SS390" s="29"/>
      <c r="ST390" s="29"/>
      <c r="SU390" s="29"/>
      <c r="SV390" s="29"/>
      <c r="SW390" s="29"/>
      <c r="SX390" s="29"/>
      <c r="SY390" s="29"/>
      <c r="SZ390" s="29"/>
      <c r="TA390" s="29"/>
      <c r="TB390" s="29"/>
      <c r="TC390" s="29"/>
      <c r="TD390" s="29"/>
      <c r="TE390" s="29"/>
      <c r="TF390" s="29"/>
      <c r="TG390" s="29"/>
      <c r="TH390" s="29"/>
      <c r="TI390" s="29"/>
      <c r="TJ390" s="29"/>
      <c r="TK390" s="29"/>
      <c r="TL390" s="29"/>
      <c r="TM390" s="29"/>
      <c r="TN390" s="29"/>
      <c r="TO390" s="29"/>
      <c r="TP390" s="29"/>
      <c r="TQ390" s="29"/>
      <c r="TR390" s="29"/>
      <c r="TS390" s="29"/>
      <c r="TT390" s="29"/>
      <c r="TU390" s="29"/>
      <c r="TV390" s="29"/>
      <c r="TW390" s="29"/>
      <c r="TX390" s="29"/>
      <c r="TY390" s="29"/>
      <c r="TZ390" s="29"/>
      <c r="UA390" s="29"/>
      <c r="UB390" s="29"/>
      <c r="UC390" s="29"/>
      <c r="UD390" s="29"/>
      <c r="UE390" s="29"/>
      <c r="UF390" s="29"/>
      <c r="UG390" s="29"/>
      <c r="UH390" s="29"/>
      <c r="UI390" s="29"/>
      <c r="UJ390" s="29"/>
      <c r="UK390" s="29"/>
      <c r="UL390" s="29"/>
      <c r="UM390" s="29"/>
      <c r="UN390" s="29"/>
      <c r="UO390" s="29"/>
      <c r="UP390" s="29"/>
      <c r="UQ390" s="29"/>
      <c r="UR390" s="29"/>
      <c r="US390" s="29"/>
      <c r="UT390" s="29"/>
      <c r="UU390" s="29"/>
      <c r="UV390" s="29"/>
      <c r="UW390" s="29"/>
      <c r="UX390" s="29"/>
      <c r="UY390" s="29"/>
      <c r="UZ390" s="29"/>
      <c r="VA390" s="29"/>
      <c r="VB390" s="29"/>
      <c r="VC390" s="29"/>
      <c r="VD390" s="29"/>
      <c r="VE390" s="29"/>
      <c r="VF390" s="29"/>
      <c r="VG390" s="29"/>
      <c r="VH390" s="29"/>
      <c r="VI390" s="29"/>
      <c r="VJ390" s="29"/>
      <c r="VK390" s="29"/>
      <c r="VL390" s="29"/>
      <c r="VM390" s="29"/>
      <c r="VN390" s="29"/>
      <c r="VO390" s="29"/>
      <c r="VP390" s="29"/>
      <c r="VQ390" s="29"/>
      <c r="VR390" s="29"/>
      <c r="VS390" s="29"/>
      <c r="VT390" s="29"/>
      <c r="VU390" s="29"/>
      <c r="VV390" s="29"/>
      <c r="VW390" s="29"/>
      <c r="VX390" s="29"/>
      <c r="VY390" s="29"/>
      <c r="VZ390" s="29"/>
      <c r="WA390" s="29"/>
      <c r="WB390" s="29"/>
    </row>
    <row r="391" spans="1:600" ht="35.1" customHeight="1" x14ac:dyDescent="0.3">
      <c r="H391" s="1"/>
    </row>
    <row r="392" spans="1:600" ht="35.1" customHeight="1" x14ac:dyDescent="0.3">
      <c r="H392" s="1"/>
    </row>
    <row r="393" spans="1:600" ht="35.1" customHeight="1" x14ac:dyDescent="0.3">
      <c r="H393" s="1"/>
    </row>
    <row r="394" spans="1:600" ht="35.1" customHeight="1" x14ac:dyDescent="0.3">
      <c r="H394" s="1"/>
    </row>
    <row r="395" spans="1:600" ht="35.1" customHeight="1" x14ac:dyDescent="0.3">
      <c r="H395" s="1"/>
    </row>
    <row r="396" spans="1:600" ht="35.1" customHeight="1" x14ac:dyDescent="0.3">
      <c r="H396" s="1"/>
    </row>
    <row r="397" spans="1:600" ht="35.1" customHeight="1" x14ac:dyDescent="0.3">
      <c r="H397" s="1"/>
    </row>
    <row r="398" spans="1:600" ht="35.1" customHeight="1" x14ac:dyDescent="0.3">
      <c r="H398" s="1"/>
    </row>
    <row r="399" spans="1:600" ht="35.1" customHeight="1" x14ac:dyDescent="0.3">
      <c r="H399" s="1"/>
    </row>
    <row r="400" spans="1:600" ht="35.1" customHeight="1" x14ac:dyDescent="0.3">
      <c r="H400" s="1"/>
    </row>
    <row r="401" spans="8:8" ht="35.1" customHeight="1" x14ac:dyDescent="0.3">
      <c r="H401" s="1"/>
    </row>
    <row r="402" spans="8:8" ht="35.1" customHeight="1" x14ac:dyDescent="0.3">
      <c r="H402" s="1"/>
    </row>
    <row r="403" spans="8:8" ht="35.1" customHeight="1" x14ac:dyDescent="0.3">
      <c r="H403" s="1"/>
    </row>
    <row r="404" spans="8:8" ht="35.1" customHeight="1" x14ac:dyDescent="0.3">
      <c r="H404" s="1"/>
    </row>
    <row r="405" spans="8:8" ht="35.1" customHeight="1" x14ac:dyDescent="0.3">
      <c r="H405" s="1"/>
    </row>
    <row r="406" spans="8:8" ht="35.1" customHeight="1" x14ac:dyDescent="0.3">
      <c r="H406" s="1"/>
    </row>
    <row r="407" spans="8:8" ht="35.1" customHeight="1" x14ac:dyDescent="0.3">
      <c r="H407" s="1"/>
    </row>
    <row r="408" spans="8:8" ht="35.1" customHeight="1" x14ac:dyDescent="0.3">
      <c r="H408" s="1"/>
    </row>
    <row r="409" spans="8:8" ht="35.1" customHeight="1" x14ac:dyDescent="0.3">
      <c r="H409" s="1"/>
    </row>
    <row r="410" spans="8:8" ht="35.1" customHeight="1" x14ac:dyDescent="0.3">
      <c r="H410" s="1"/>
    </row>
    <row r="411" spans="8:8" ht="35.1" customHeight="1" x14ac:dyDescent="0.3">
      <c r="H411" s="1"/>
    </row>
    <row r="412" spans="8:8" ht="35.1" customHeight="1" x14ac:dyDescent="0.3">
      <c r="H412" s="1"/>
    </row>
    <row r="413" spans="8:8" ht="35.1" customHeight="1" x14ac:dyDescent="0.3">
      <c r="H413" s="1"/>
    </row>
    <row r="414" spans="8:8" ht="35.1" customHeight="1" x14ac:dyDescent="0.3">
      <c r="H414" s="1"/>
    </row>
    <row r="415" spans="8:8" ht="35.1" customHeight="1" x14ac:dyDescent="0.3">
      <c r="H415" s="1"/>
    </row>
    <row r="416" spans="8:8" ht="35.1" customHeight="1" x14ac:dyDescent="0.3">
      <c r="H416" s="1"/>
    </row>
    <row r="417" spans="8:8" ht="35.1" customHeight="1" x14ac:dyDescent="0.3">
      <c r="H417" s="1"/>
    </row>
    <row r="418" spans="8:8" ht="35.1" customHeight="1" x14ac:dyDescent="0.3">
      <c r="H418" s="1"/>
    </row>
    <row r="419" spans="8:8" ht="35.1" customHeight="1" x14ac:dyDescent="0.3">
      <c r="H419" s="1"/>
    </row>
    <row r="420" spans="8:8" ht="35.1" customHeight="1" x14ac:dyDescent="0.3">
      <c r="H420" s="1"/>
    </row>
    <row r="421" spans="8:8" ht="35.1" customHeight="1" x14ac:dyDescent="0.3">
      <c r="H421" s="1"/>
    </row>
    <row r="422" spans="8:8" ht="35.1" customHeight="1" x14ac:dyDescent="0.3">
      <c r="H422" s="1"/>
    </row>
    <row r="423" spans="8:8" ht="35.1" customHeight="1" x14ac:dyDescent="0.3">
      <c r="H423" s="1"/>
    </row>
    <row r="424" spans="8:8" ht="35.1" customHeight="1" x14ac:dyDescent="0.3">
      <c r="H424" s="1"/>
    </row>
    <row r="425" spans="8:8" ht="35.1" customHeight="1" x14ac:dyDescent="0.3">
      <c r="H425" s="1"/>
    </row>
    <row r="426" spans="8:8" ht="35.1" customHeight="1" x14ac:dyDescent="0.3">
      <c r="H426" s="1"/>
    </row>
    <row r="427" spans="8:8" ht="35.1" customHeight="1" x14ac:dyDescent="0.3">
      <c r="H427" s="1"/>
    </row>
    <row r="428" spans="8:8" ht="35.1" customHeight="1" x14ac:dyDescent="0.3">
      <c r="H428" s="1"/>
    </row>
    <row r="429" spans="8:8" ht="35.1" customHeight="1" x14ac:dyDescent="0.3">
      <c r="H429" s="1"/>
    </row>
    <row r="430" spans="8:8" ht="35.1" customHeight="1" x14ac:dyDescent="0.3">
      <c r="H430" s="1"/>
    </row>
    <row r="431" spans="8:8" ht="35.1" customHeight="1" x14ac:dyDescent="0.3">
      <c r="H431" s="1"/>
    </row>
    <row r="432" spans="8:8" ht="35.1" customHeight="1" x14ac:dyDescent="0.3">
      <c r="H432" s="1"/>
    </row>
    <row r="433" spans="8:8" ht="35.1" customHeight="1" x14ac:dyDescent="0.3">
      <c r="H433" s="1"/>
    </row>
    <row r="434" spans="8:8" ht="35.1" customHeight="1" x14ac:dyDescent="0.3">
      <c r="H434" s="1"/>
    </row>
    <row r="435" spans="8:8" ht="35.1" customHeight="1" x14ac:dyDescent="0.3">
      <c r="H435" s="1"/>
    </row>
    <row r="436" spans="8:8" ht="35.1" customHeight="1" x14ac:dyDescent="0.3">
      <c r="H436" s="1"/>
    </row>
    <row r="437" spans="8:8" ht="35.1" customHeight="1" x14ac:dyDescent="0.3">
      <c r="H437" s="1"/>
    </row>
    <row r="438" spans="8:8" ht="35.1" customHeight="1" x14ac:dyDescent="0.3">
      <c r="H438" s="1"/>
    </row>
    <row r="439" spans="8:8" ht="35.1" customHeight="1" x14ac:dyDescent="0.3">
      <c r="H439" s="1"/>
    </row>
    <row r="440" spans="8:8" ht="35.1" customHeight="1" x14ac:dyDescent="0.3">
      <c r="H440" s="1"/>
    </row>
    <row r="441" spans="8:8" ht="35.1" customHeight="1" x14ac:dyDescent="0.3">
      <c r="H441" s="1"/>
    </row>
    <row r="442" spans="8:8" ht="35.1" customHeight="1" x14ac:dyDescent="0.3">
      <c r="H442" s="1"/>
    </row>
    <row r="443" spans="8:8" ht="35.1" customHeight="1" x14ac:dyDescent="0.3">
      <c r="H443" s="1"/>
    </row>
    <row r="444" spans="8:8" ht="35.1" customHeight="1" x14ac:dyDescent="0.3">
      <c r="H444" s="1"/>
    </row>
    <row r="445" spans="8:8" ht="35.1" customHeight="1" x14ac:dyDescent="0.3">
      <c r="H445" s="1"/>
    </row>
    <row r="446" spans="8:8" ht="35.1" customHeight="1" x14ac:dyDescent="0.3">
      <c r="H446" s="1"/>
    </row>
    <row r="447" spans="8:8" ht="35.1" customHeight="1" x14ac:dyDescent="0.3">
      <c r="H447" s="1"/>
    </row>
    <row r="448" spans="8:8" ht="35.1" customHeight="1" x14ac:dyDescent="0.3">
      <c r="H448" s="1"/>
    </row>
    <row r="449" spans="1:600" ht="35.1" customHeight="1" x14ac:dyDescent="0.3">
      <c r="H449" s="1"/>
    </row>
    <row r="450" spans="1:600" ht="35.1" customHeight="1" x14ac:dyDescent="0.3">
      <c r="H450" s="1"/>
    </row>
    <row r="451" spans="1:600" ht="35.1" customHeight="1" x14ac:dyDescent="0.3">
      <c r="H451" s="1"/>
    </row>
    <row r="452" spans="1:600" ht="35.1" customHeight="1" x14ac:dyDescent="0.3">
      <c r="H452" s="1"/>
    </row>
    <row r="453" spans="1:600" ht="35.1" customHeight="1" x14ac:dyDescent="0.3">
      <c r="H453" s="1"/>
    </row>
    <row r="454" spans="1:600" ht="35.1" customHeight="1" x14ac:dyDescent="0.3">
      <c r="H454" s="1"/>
    </row>
    <row r="455" spans="1:600" ht="35.1" customHeight="1" x14ac:dyDescent="0.3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  <c r="AX455" s="29"/>
      <c r="AY455" s="29"/>
      <c r="AZ455" s="29"/>
      <c r="BA455" s="29"/>
      <c r="BB455" s="29"/>
      <c r="BC455" s="29"/>
      <c r="BD455" s="29"/>
      <c r="BE455" s="29"/>
      <c r="BF455" s="29"/>
      <c r="BG455" s="29"/>
      <c r="BH455" s="29"/>
      <c r="BI455" s="29"/>
      <c r="BJ455" s="29"/>
      <c r="BK455" s="29"/>
      <c r="BL455" s="29"/>
      <c r="BM455" s="29"/>
      <c r="BN455" s="29"/>
      <c r="BO455" s="29"/>
      <c r="BP455" s="29"/>
      <c r="BQ455" s="29"/>
      <c r="BR455" s="29"/>
      <c r="BS455" s="29"/>
      <c r="BT455" s="29"/>
      <c r="BU455" s="29"/>
      <c r="BV455" s="29"/>
      <c r="BW455" s="29"/>
      <c r="BX455" s="29"/>
      <c r="BY455" s="29"/>
      <c r="BZ455" s="29"/>
      <c r="CA455" s="29"/>
      <c r="CB455" s="29"/>
      <c r="CC455" s="29"/>
      <c r="CD455" s="29"/>
      <c r="CE455" s="29"/>
      <c r="CF455" s="29"/>
      <c r="CG455" s="29"/>
      <c r="CH455" s="29"/>
      <c r="CI455" s="29"/>
      <c r="CJ455" s="29"/>
      <c r="CK455" s="29"/>
      <c r="CL455" s="29"/>
      <c r="CM455" s="29"/>
      <c r="CN455" s="29"/>
      <c r="CO455" s="29"/>
      <c r="CP455" s="29"/>
      <c r="CQ455" s="29"/>
      <c r="CR455" s="29"/>
      <c r="CS455" s="29"/>
      <c r="CT455" s="29"/>
      <c r="CU455" s="29"/>
      <c r="CV455" s="29"/>
      <c r="CW455" s="29"/>
      <c r="CX455" s="29"/>
      <c r="CY455" s="29"/>
      <c r="CZ455" s="29"/>
      <c r="DA455" s="29"/>
      <c r="DB455" s="29"/>
      <c r="DC455" s="29"/>
      <c r="DD455" s="29"/>
      <c r="DE455" s="29"/>
      <c r="DF455" s="29"/>
      <c r="DG455" s="29"/>
      <c r="DH455" s="29"/>
      <c r="DI455" s="29"/>
      <c r="DJ455" s="29"/>
      <c r="DK455" s="29"/>
      <c r="DL455" s="29"/>
      <c r="DM455" s="29"/>
      <c r="DN455" s="29"/>
      <c r="DO455" s="29"/>
      <c r="DP455" s="29"/>
      <c r="DQ455" s="29"/>
      <c r="DR455" s="29"/>
      <c r="DS455" s="29"/>
      <c r="DT455" s="29"/>
      <c r="DU455" s="29"/>
      <c r="DV455" s="29"/>
      <c r="DW455" s="29"/>
      <c r="DX455" s="29"/>
      <c r="DY455" s="29"/>
      <c r="DZ455" s="29"/>
      <c r="EA455" s="29"/>
      <c r="EB455" s="29"/>
      <c r="EC455" s="29"/>
      <c r="ED455" s="29"/>
      <c r="EE455" s="29"/>
      <c r="EF455" s="29"/>
      <c r="EG455" s="29"/>
      <c r="EH455" s="29"/>
      <c r="EI455" s="29"/>
      <c r="EJ455" s="29"/>
      <c r="EK455" s="29"/>
      <c r="EL455" s="29"/>
      <c r="EM455" s="29"/>
      <c r="EN455" s="29"/>
      <c r="EO455" s="29"/>
      <c r="EP455" s="29"/>
      <c r="EQ455" s="29"/>
      <c r="ER455" s="29"/>
      <c r="ES455" s="29"/>
      <c r="ET455" s="29"/>
      <c r="EU455" s="29"/>
      <c r="EV455" s="29"/>
      <c r="EW455" s="29"/>
      <c r="EX455" s="29"/>
      <c r="EY455" s="29"/>
      <c r="EZ455" s="29"/>
      <c r="FA455" s="29"/>
      <c r="FB455" s="29"/>
      <c r="FC455" s="29"/>
      <c r="FD455" s="29"/>
      <c r="FE455" s="29"/>
      <c r="FF455" s="29"/>
      <c r="FG455" s="29"/>
      <c r="FH455" s="29"/>
      <c r="FI455" s="29"/>
      <c r="FJ455" s="29"/>
      <c r="FK455" s="29"/>
      <c r="FL455" s="29"/>
      <c r="FM455" s="29"/>
      <c r="FN455" s="29"/>
      <c r="FO455" s="29"/>
      <c r="FP455" s="29"/>
      <c r="FQ455" s="29"/>
      <c r="FR455" s="29"/>
      <c r="FS455" s="29"/>
      <c r="FT455" s="29"/>
      <c r="FU455" s="29"/>
      <c r="FV455" s="29"/>
      <c r="FW455" s="29"/>
      <c r="FX455" s="29"/>
      <c r="FY455" s="29"/>
      <c r="FZ455" s="29"/>
      <c r="GA455" s="29"/>
      <c r="GB455" s="29"/>
      <c r="GC455" s="29"/>
      <c r="GD455" s="29"/>
      <c r="GE455" s="29"/>
      <c r="GF455" s="29"/>
      <c r="GG455" s="29"/>
      <c r="GH455" s="29"/>
      <c r="GI455" s="29"/>
      <c r="GJ455" s="29"/>
      <c r="GK455" s="29"/>
      <c r="GL455" s="29"/>
      <c r="GM455" s="29"/>
      <c r="GN455" s="29"/>
      <c r="GO455" s="29"/>
      <c r="GP455" s="29"/>
      <c r="GQ455" s="29"/>
      <c r="GR455" s="29"/>
      <c r="GS455" s="29"/>
      <c r="GT455" s="29"/>
      <c r="GU455" s="29"/>
      <c r="GV455" s="29"/>
      <c r="GW455" s="29"/>
      <c r="GX455" s="29"/>
      <c r="GY455" s="29"/>
      <c r="GZ455" s="29"/>
      <c r="HA455" s="29"/>
      <c r="HB455" s="29"/>
      <c r="HC455" s="29"/>
      <c r="HD455" s="29"/>
      <c r="HE455" s="29"/>
      <c r="HF455" s="29"/>
      <c r="HG455" s="29"/>
      <c r="HH455" s="29"/>
      <c r="HI455" s="29"/>
      <c r="HJ455" s="29"/>
      <c r="HK455" s="29"/>
      <c r="HL455" s="29"/>
      <c r="HM455" s="29"/>
      <c r="HN455" s="29"/>
      <c r="HO455" s="29"/>
      <c r="HP455" s="29"/>
      <c r="HQ455" s="29"/>
      <c r="HR455" s="29"/>
      <c r="HS455" s="29"/>
      <c r="HT455" s="29"/>
      <c r="HU455" s="29"/>
      <c r="HV455" s="29"/>
      <c r="HW455" s="29"/>
      <c r="HX455" s="29"/>
      <c r="HY455" s="29"/>
      <c r="HZ455" s="29"/>
      <c r="IA455" s="29"/>
      <c r="IB455" s="29"/>
      <c r="IC455" s="29"/>
      <c r="ID455" s="29"/>
      <c r="IE455" s="29"/>
      <c r="IF455" s="29"/>
      <c r="IG455" s="29"/>
      <c r="IH455" s="29"/>
      <c r="II455" s="29"/>
      <c r="IJ455" s="29"/>
      <c r="IK455" s="29"/>
      <c r="IL455" s="29"/>
      <c r="IM455" s="29"/>
      <c r="IN455" s="29"/>
      <c r="IO455" s="29"/>
      <c r="IP455" s="29"/>
      <c r="IQ455" s="29"/>
      <c r="IR455" s="29"/>
      <c r="IS455" s="29"/>
      <c r="IT455" s="29"/>
      <c r="IU455" s="29"/>
      <c r="IV455" s="29"/>
      <c r="IW455" s="29"/>
      <c r="IX455" s="29"/>
      <c r="IY455" s="29"/>
      <c r="IZ455" s="29"/>
      <c r="JA455" s="29"/>
      <c r="JB455" s="29"/>
      <c r="JC455" s="29"/>
      <c r="JD455" s="29"/>
      <c r="JE455" s="29"/>
      <c r="JF455" s="29"/>
      <c r="JG455" s="29"/>
      <c r="JH455" s="29"/>
      <c r="JI455" s="29"/>
      <c r="JJ455" s="29"/>
      <c r="JK455" s="29"/>
      <c r="JL455" s="29"/>
      <c r="JM455" s="29"/>
      <c r="JN455" s="29"/>
      <c r="JO455" s="29"/>
      <c r="JP455" s="29"/>
      <c r="JQ455" s="29"/>
      <c r="JR455" s="29"/>
      <c r="JS455" s="29"/>
      <c r="JT455" s="29"/>
      <c r="JU455" s="29"/>
      <c r="JV455" s="29"/>
      <c r="JW455" s="29"/>
      <c r="JX455" s="29"/>
      <c r="JY455" s="29"/>
      <c r="JZ455" s="29"/>
      <c r="KA455" s="29"/>
      <c r="KB455" s="29"/>
      <c r="KC455" s="29"/>
      <c r="KD455" s="29"/>
      <c r="KE455" s="29"/>
      <c r="KF455" s="29"/>
      <c r="KG455" s="29"/>
      <c r="KH455" s="29"/>
      <c r="KI455" s="29"/>
      <c r="KJ455" s="29"/>
      <c r="KK455" s="29"/>
      <c r="KL455" s="29"/>
      <c r="KM455" s="29"/>
      <c r="KN455" s="29"/>
      <c r="KO455" s="29"/>
      <c r="KP455" s="29"/>
      <c r="KQ455" s="29"/>
      <c r="KR455" s="29"/>
      <c r="KS455" s="29"/>
      <c r="KT455" s="29"/>
      <c r="KU455" s="29"/>
      <c r="KV455" s="29"/>
      <c r="KW455" s="29"/>
      <c r="KX455" s="29"/>
      <c r="KY455" s="29"/>
      <c r="KZ455" s="29"/>
      <c r="LA455" s="29"/>
      <c r="LB455" s="29"/>
      <c r="LC455" s="29"/>
      <c r="LD455" s="29"/>
      <c r="LE455" s="29"/>
      <c r="LF455" s="29"/>
      <c r="LG455" s="29"/>
      <c r="LH455" s="29"/>
      <c r="LI455" s="29"/>
      <c r="LJ455" s="29"/>
      <c r="LK455" s="29"/>
      <c r="LL455" s="29"/>
      <c r="LM455" s="29"/>
      <c r="LN455" s="29"/>
      <c r="LO455" s="29"/>
      <c r="LP455" s="29"/>
      <c r="LQ455" s="29"/>
      <c r="LR455" s="29"/>
      <c r="LS455" s="29"/>
      <c r="LT455" s="29"/>
      <c r="LU455" s="29"/>
      <c r="LV455" s="29"/>
      <c r="LW455" s="29"/>
      <c r="LX455" s="29"/>
      <c r="LY455" s="29"/>
      <c r="LZ455" s="29"/>
      <c r="MA455" s="29"/>
      <c r="MB455" s="29"/>
      <c r="MC455" s="29"/>
      <c r="MD455" s="29"/>
      <c r="ME455" s="29"/>
      <c r="MF455" s="29"/>
      <c r="MG455" s="29"/>
      <c r="MH455" s="29"/>
      <c r="MI455" s="29"/>
      <c r="MJ455" s="29"/>
      <c r="MK455" s="29"/>
      <c r="ML455" s="29"/>
      <c r="MM455" s="29"/>
      <c r="MN455" s="29"/>
      <c r="MO455" s="29"/>
      <c r="MP455" s="29"/>
      <c r="MQ455" s="29"/>
      <c r="MR455" s="29"/>
      <c r="MS455" s="29"/>
      <c r="MT455" s="29"/>
      <c r="MU455" s="29"/>
      <c r="MV455" s="29"/>
      <c r="MW455" s="29"/>
      <c r="MX455" s="29"/>
      <c r="MY455" s="29"/>
      <c r="MZ455" s="29"/>
      <c r="NA455" s="29"/>
      <c r="NB455" s="29"/>
      <c r="NC455" s="29"/>
      <c r="ND455" s="29"/>
      <c r="NE455" s="29"/>
      <c r="NF455" s="29"/>
      <c r="NG455" s="29"/>
      <c r="NH455" s="29"/>
      <c r="NI455" s="29"/>
      <c r="NJ455" s="29"/>
      <c r="NK455" s="29"/>
      <c r="NL455" s="29"/>
      <c r="NM455" s="29"/>
      <c r="NN455" s="29"/>
      <c r="NO455" s="29"/>
      <c r="NP455" s="29"/>
      <c r="NQ455" s="29"/>
      <c r="NR455" s="29"/>
      <c r="NS455" s="29"/>
      <c r="NT455" s="29"/>
      <c r="NU455" s="29"/>
      <c r="NV455" s="29"/>
      <c r="NW455" s="29"/>
      <c r="NX455" s="29"/>
      <c r="NY455" s="29"/>
      <c r="NZ455" s="29"/>
      <c r="OA455" s="29"/>
      <c r="OB455" s="29"/>
      <c r="OC455" s="29"/>
      <c r="OD455" s="29"/>
      <c r="OE455" s="29"/>
      <c r="OF455" s="29"/>
      <c r="OG455" s="29"/>
      <c r="OH455" s="29"/>
      <c r="OI455" s="29"/>
      <c r="OJ455" s="29"/>
      <c r="OK455" s="29"/>
      <c r="OL455" s="29"/>
      <c r="OM455" s="29"/>
      <c r="ON455" s="29"/>
      <c r="OO455" s="29"/>
      <c r="OP455" s="29"/>
      <c r="OQ455" s="29"/>
      <c r="OR455" s="29"/>
      <c r="OS455" s="29"/>
      <c r="OT455" s="29"/>
      <c r="OU455" s="29"/>
      <c r="OV455" s="29"/>
      <c r="OW455" s="29"/>
      <c r="OX455" s="29"/>
      <c r="OY455" s="29"/>
      <c r="OZ455" s="29"/>
      <c r="PA455" s="29"/>
      <c r="PB455" s="29"/>
      <c r="PC455" s="29"/>
      <c r="PD455" s="29"/>
      <c r="PE455" s="29"/>
      <c r="PF455" s="29"/>
      <c r="PG455" s="29"/>
      <c r="PH455" s="29"/>
      <c r="PI455" s="29"/>
      <c r="PJ455" s="29"/>
      <c r="PK455" s="29"/>
      <c r="PL455" s="29"/>
      <c r="PM455" s="29"/>
      <c r="PN455" s="29"/>
      <c r="PO455" s="29"/>
      <c r="PP455" s="29"/>
      <c r="PQ455" s="29"/>
      <c r="PR455" s="29"/>
      <c r="PS455" s="29"/>
      <c r="PT455" s="29"/>
      <c r="PU455" s="29"/>
      <c r="PV455" s="29"/>
      <c r="PW455" s="29"/>
      <c r="PX455" s="29"/>
      <c r="PY455" s="29"/>
      <c r="PZ455" s="29"/>
      <c r="QA455" s="29"/>
      <c r="QB455" s="29"/>
      <c r="QC455" s="29"/>
      <c r="QD455" s="29"/>
      <c r="QE455" s="29"/>
      <c r="QF455" s="29"/>
      <c r="QG455" s="29"/>
      <c r="QH455" s="29"/>
      <c r="QI455" s="29"/>
      <c r="QJ455" s="29"/>
      <c r="QK455" s="29"/>
      <c r="QL455" s="29"/>
      <c r="QM455" s="29"/>
      <c r="QN455" s="29"/>
      <c r="QO455" s="29"/>
      <c r="QP455" s="29"/>
      <c r="QQ455" s="29"/>
      <c r="QR455" s="29"/>
      <c r="QS455" s="29"/>
      <c r="QT455" s="29"/>
      <c r="QU455" s="29"/>
      <c r="QV455" s="29"/>
      <c r="QW455" s="29"/>
      <c r="QX455" s="29"/>
      <c r="QY455" s="29"/>
      <c r="QZ455" s="29"/>
      <c r="RA455" s="29"/>
      <c r="RB455" s="29"/>
      <c r="RC455" s="29"/>
      <c r="RD455" s="29"/>
      <c r="RE455" s="29"/>
      <c r="RF455" s="29"/>
      <c r="RG455" s="29"/>
      <c r="RH455" s="29"/>
      <c r="RI455" s="29"/>
      <c r="RJ455" s="29"/>
      <c r="RK455" s="29"/>
      <c r="RL455" s="29"/>
      <c r="RM455" s="29"/>
      <c r="RN455" s="29"/>
      <c r="RO455" s="29"/>
      <c r="RP455" s="29"/>
      <c r="RQ455" s="29"/>
      <c r="RR455" s="29"/>
      <c r="RS455" s="29"/>
      <c r="RT455" s="29"/>
      <c r="RU455" s="29"/>
      <c r="RV455" s="29"/>
      <c r="RW455" s="29"/>
      <c r="RX455" s="29"/>
      <c r="RY455" s="29"/>
      <c r="RZ455" s="29"/>
      <c r="SA455" s="29"/>
      <c r="SB455" s="29"/>
      <c r="SC455" s="29"/>
      <c r="SD455" s="29"/>
      <c r="SE455" s="29"/>
      <c r="SF455" s="29"/>
      <c r="SG455" s="29"/>
      <c r="SH455" s="29"/>
      <c r="SI455" s="29"/>
      <c r="SJ455" s="29"/>
      <c r="SK455" s="29"/>
      <c r="SL455" s="29"/>
      <c r="SM455" s="29"/>
      <c r="SN455" s="29"/>
      <c r="SO455" s="29"/>
      <c r="SP455" s="29"/>
      <c r="SQ455" s="29"/>
      <c r="SR455" s="29"/>
      <c r="SS455" s="29"/>
      <c r="ST455" s="29"/>
      <c r="SU455" s="29"/>
      <c r="SV455" s="29"/>
      <c r="SW455" s="29"/>
      <c r="SX455" s="29"/>
      <c r="SY455" s="29"/>
      <c r="SZ455" s="29"/>
      <c r="TA455" s="29"/>
      <c r="TB455" s="29"/>
      <c r="TC455" s="29"/>
      <c r="TD455" s="29"/>
      <c r="TE455" s="29"/>
      <c r="TF455" s="29"/>
      <c r="TG455" s="29"/>
      <c r="TH455" s="29"/>
      <c r="TI455" s="29"/>
      <c r="TJ455" s="29"/>
      <c r="TK455" s="29"/>
      <c r="TL455" s="29"/>
      <c r="TM455" s="29"/>
      <c r="TN455" s="29"/>
      <c r="TO455" s="29"/>
      <c r="TP455" s="29"/>
      <c r="TQ455" s="29"/>
      <c r="TR455" s="29"/>
      <c r="TS455" s="29"/>
      <c r="TT455" s="29"/>
      <c r="TU455" s="29"/>
      <c r="TV455" s="29"/>
      <c r="TW455" s="29"/>
      <c r="TX455" s="29"/>
      <c r="TY455" s="29"/>
      <c r="TZ455" s="29"/>
      <c r="UA455" s="29"/>
      <c r="UB455" s="29"/>
      <c r="UC455" s="29"/>
      <c r="UD455" s="29"/>
      <c r="UE455" s="29"/>
      <c r="UF455" s="29"/>
      <c r="UG455" s="29"/>
      <c r="UH455" s="29"/>
      <c r="UI455" s="29"/>
      <c r="UJ455" s="29"/>
      <c r="UK455" s="29"/>
      <c r="UL455" s="29"/>
      <c r="UM455" s="29"/>
      <c r="UN455" s="29"/>
      <c r="UO455" s="29"/>
      <c r="UP455" s="29"/>
      <c r="UQ455" s="29"/>
      <c r="UR455" s="29"/>
      <c r="US455" s="29"/>
      <c r="UT455" s="29"/>
      <c r="UU455" s="29"/>
      <c r="UV455" s="29"/>
      <c r="UW455" s="29"/>
      <c r="UX455" s="29"/>
      <c r="UY455" s="29"/>
      <c r="UZ455" s="29"/>
      <c r="VA455" s="29"/>
      <c r="VB455" s="29"/>
      <c r="VC455" s="29"/>
      <c r="VD455" s="29"/>
      <c r="VE455" s="29"/>
      <c r="VF455" s="29"/>
      <c r="VG455" s="29"/>
      <c r="VH455" s="29"/>
      <c r="VI455" s="29"/>
      <c r="VJ455" s="29"/>
      <c r="VK455" s="29"/>
      <c r="VL455" s="29"/>
      <c r="VM455" s="29"/>
      <c r="VN455" s="29"/>
      <c r="VO455" s="29"/>
      <c r="VP455" s="29"/>
      <c r="VQ455" s="29"/>
      <c r="VR455" s="29"/>
      <c r="VS455" s="29"/>
      <c r="VT455" s="29"/>
      <c r="VU455" s="29"/>
      <c r="VV455" s="29"/>
      <c r="VW455" s="29"/>
      <c r="VX455" s="29"/>
      <c r="VY455" s="29"/>
      <c r="VZ455" s="29"/>
      <c r="WA455" s="29"/>
      <c r="WB455" s="29"/>
    </row>
    <row r="456" spans="1:600" ht="35.1" customHeight="1" x14ac:dyDescent="0.3">
      <c r="H456" s="1"/>
    </row>
    <row r="457" spans="1:600" ht="35.1" customHeight="1" x14ac:dyDescent="0.3">
      <c r="H457" s="1"/>
    </row>
    <row r="458" spans="1:600" ht="35.1" customHeight="1" x14ac:dyDescent="0.3">
      <c r="H458" s="1"/>
    </row>
    <row r="459" spans="1:600" ht="35.1" customHeight="1" x14ac:dyDescent="0.3">
      <c r="H459" s="1"/>
    </row>
    <row r="460" spans="1:600" ht="35.1" customHeight="1" x14ac:dyDescent="0.3">
      <c r="H460" s="1"/>
    </row>
    <row r="461" spans="1:600" ht="35.1" customHeight="1" x14ac:dyDescent="0.3">
      <c r="H461" s="1"/>
    </row>
    <row r="462" spans="1:600" ht="35.1" customHeight="1" x14ac:dyDescent="0.3">
      <c r="H462" s="1"/>
    </row>
    <row r="463" spans="1:600" ht="35.1" customHeight="1" x14ac:dyDescent="0.3">
      <c r="H463" s="1"/>
    </row>
    <row r="464" spans="1:600" ht="35.1" customHeight="1" x14ac:dyDescent="0.3">
      <c r="H464" s="1"/>
    </row>
    <row r="465" spans="8:8" ht="35.1" customHeight="1" x14ac:dyDescent="0.3">
      <c r="H465" s="1"/>
    </row>
    <row r="466" spans="8:8" ht="35.1" customHeight="1" x14ac:dyDescent="0.3">
      <c r="H466" s="1"/>
    </row>
    <row r="467" spans="8:8" ht="35.1" customHeight="1" x14ac:dyDescent="0.3">
      <c r="H467" s="1"/>
    </row>
    <row r="468" spans="8:8" ht="35.1" customHeight="1" x14ac:dyDescent="0.3">
      <c r="H468" s="1"/>
    </row>
    <row r="469" spans="8:8" ht="35.1" customHeight="1" x14ac:dyDescent="0.3">
      <c r="H469" s="1"/>
    </row>
    <row r="470" spans="8:8" ht="35.1" customHeight="1" x14ac:dyDescent="0.3">
      <c r="H470" s="1"/>
    </row>
    <row r="471" spans="8:8" ht="35.1" customHeight="1" x14ac:dyDescent="0.3">
      <c r="H471" s="1"/>
    </row>
    <row r="472" spans="8:8" ht="35.1" customHeight="1" x14ac:dyDescent="0.3">
      <c r="H472" s="1"/>
    </row>
    <row r="473" spans="8:8" ht="35.1" customHeight="1" x14ac:dyDescent="0.3">
      <c r="H473" s="1"/>
    </row>
    <row r="474" spans="8:8" ht="35.1" customHeight="1" x14ac:dyDescent="0.3">
      <c r="H474" s="1"/>
    </row>
    <row r="475" spans="8:8" ht="35.1" customHeight="1" x14ac:dyDescent="0.3">
      <c r="H475" s="1"/>
    </row>
    <row r="476" spans="8:8" ht="35.1" customHeight="1" x14ac:dyDescent="0.3">
      <c r="H476" s="1"/>
    </row>
    <row r="477" spans="8:8" ht="35.1" customHeight="1" x14ac:dyDescent="0.3">
      <c r="H477" s="1"/>
    </row>
    <row r="478" spans="8:8" ht="35.1" customHeight="1" x14ac:dyDescent="0.3">
      <c r="H478" s="1"/>
    </row>
    <row r="479" spans="8:8" ht="35.1" customHeight="1" x14ac:dyDescent="0.3">
      <c r="H479" s="1"/>
    </row>
    <row r="480" spans="8:8" ht="35.1" customHeight="1" x14ac:dyDescent="0.3">
      <c r="H480" s="1"/>
    </row>
    <row r="481" spans="8:8" ht="35.1" customHeight="1" x14ac:dyDescent="0.3">
      <c r="H481" s="1"/>
    </row>
    <row r="482" spans="8:8" ht="35.1" customHeight="1" x14ac:dyDescent="0.3">
      <c r="H482" s="1"/>
    </row>
    <row r="483" spans="8:8" ht="35.1" customHeight="1" x14ac:dyDescent="0.3">
      <c r="H483" s="1"/>
    </row>
    <row r="484" spans="8:8" ht="35.1" customHeight="1" x14ac:dyDescent="0.3">
      <c r="H484" s="1"/>
    </row>
    <row r="485" spans="8:8" ht="35.1" customHeight="1" x14ac:dyDescent="0.3">
      <c r="H485" s="1"/>
    </row>
    <row r="486" spans="8:8" ht="35.1" customHeight="1" x14ac:dyDescent="0.3">
      <c r="H486" s="1"/>
    </row>
    <row r="487" spans="8:8" ht="35.1" customHeight="1" x14ac:dyDescent="0.3">
      <c r="H487" s="1"/>
    </row>
    <row r="488" spans="8:8" ht="35.1" customHeight="1" x14ac:dyDescent="0.3">
      <c r="H488" s="1"/>
    </row>
    <row r="489" spans="8:8" ht="35.1" customHeight="1" x14ac:dyDescent="0.3">
      <c r="H489" s="1"/>
    </row>
    <row r="490" spans="8:8" ht="35.1" customHeight="1" x14ac:dyDescent="0.3">
      <c r="H490" s="1"/>
    </row>
    <row r="491" spans="8:8" ht="35.1" customHeight="1" x14ac:dyDescent="0.3">
      <c r="H491" s="1"/>
    </row>
    <row r="492" spans="8:8" ht="35.1" customHeight="1" x14ac:dyDescent="0.3">
      <c r="H492" s="1"/>
    </row>
    <row r="493" spans="8:8" ht="35.1" customHeight="1" x14ac:dyDescent="0.3">
      <c r="H493" s="1"/>
    </row>
    <row r="494" spans="8:8" ht="35.1" customHeight="1" x14ac:dyDescent="0.3">
      <c r="H494" s="1"/>
    </row>
    <row r="495" spans="8:8" ht="35.1" customHeight="1" x14ac:dyDescent="0.3">
      <c r="H495" s="1"/>
    </row>
    <row r="496" spans="8:8" ht="35.1" customHeight="1" x14ac:dyDescent="0.3">
      <c r="H496" s="1"/>
    </row>
    <row r="497" spans="8:8" ht="35.1" customHeight="1" x14ac:dyDescent="0.3">
      <c r="H497" s="1"/>
    </row>
    <row r="498" spans="8:8" ht="35.1" customHeight="1" x14ac:dyDescent="0.3">
      <c r="H498" s="1"/>
    </row>
    <row r="499" spans="8:8" ht="35.1" customHeight="1" x14ac:dyDescent="0.3">
      <c r="H499" s="1"/>
    </row>
    <row r="500" spans="8:8" ht="35.1" customHeight="1" x14ac:dyDescent="0.3">
      <c r="H500" s="1"/>
    </row>
    <row r="501" spans="8:8" ht="35.1" customHeight="1" x14ac:dyDescent="0.3">
      <c r="H501" s="1"/>
    </row>
    <row r="502" spans="8:8" ht="35.1" customHeight="1" x14ac:dyDescent="0.3">
      <c r="H502" s="1"/>
    </row>
    <row r="503" spans="8:8" ht="35.1" customHeight="1" x14ac:dyDescent="0.3">
      <c r="H503" s="1"/>
    </row>
    <row r="504" spans="8:8" ht="35.1" customHeight="1" x14ac:dyDescent="0.3">
      <c r="H504" s="1"/>
    </row>
    <row r="505" spans="8:8" ht="35.1" customHeight="1" x14ac:dyDescent="0.3">
      <c r="H505" s="1"/>
    </row>
    <row r="506" spans="8:8" ht="35.1" customHeight="1" x14ac:dyDescent="0.3">
      <c r="H506" s="1"/>
    </row>
    <row r="507" spans="8:8" ht="35.1" customHeight="1" x14ac:dyDescent="0.3">
      <c r="H507" s="1"/>
    </row>
    <row r="508" spans="8:8" ht="35.1" customHeight="1" x14ac:dyDescent="0.3">
      <c r="H508" s="1"/>
    </row>
    <row r="509" spans="8:8" ht="35.1" customHeight="1" x14ac:dyDescent="0.3">
      <c r="H509" s="1"/>
    </row>
    <row r="510" spans="8:8" ht="35.1" customHeight="1" x14ac:dyDescent="0.3">
      <c r="H510" s="1"/>
    </row>
    <row r="511" spans="8:8" ht="35.1" customHeight="1" x14ac:dyDescent="0.3">
      <c r="H511" s="1"/>
    </row>
    <row r="512" spans="8:8" ht="35.1" customHeight="1" x14ac:dyDescent="0.3">
      <c r="H512" s="1"/>
    </row>
    <row r="513" spans="1:600" ht="35.1" customHeight="1" x14ac:dyDescent="0.3">
      <c r="H513" s="1"/>
    </row>
    <row r="514" spans="1:600" ht="35.1" customHeight="1" x14ac:dyDescent="0.3">
      <c r="H514" s="1"/>
    </row>
    <row r="515" spans="1:600" ht="35.1" customHeight="1" x14ac:dyDescent="0.3">
      <c r="H515" s="1"/>
    </row>
    <row r="516" spans="1:600" ht="35.1" customHeight="1" x14ac:dyDescent="0.3">
      <c r="H516" s="1"/>
    </row>
    <row r="517" spans="1:600" ht="35.1" customHeight="1" x14ac:dyDescent="0.3">
      <c r="H517" s="1"/>
    </row>
    <row r="518" spans="1:600" ht="35.1" customHeight="1" x14ac:dyDescent="0.3">
      <c r="H518" s="1"/>
    </row>
    <row r="519" spans="1:600" ht="35.1" customHeight="1" x14ac:dyDescent="0.3">
      <c r="H519" s="1"/>
    </row>
    <row r="520" spans="1:600" ht="35.1" customHeight="1" x14ac:dyDescent="0.3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  <c r="AJ520" s="29"/>
      <c r="AK520" s="29"/>
      <c r="AL520" s="29"/>
      <c r="AM520" s="29"/>
      <c r="AN520" s="29"/>
      <c r="AO520" s="29"/>
      <c r="AP520" s="29"/>
      <c r="AQ520" s="29"/>
      <c r="AR520" s="29"/>
      <c r="AS520" s="29"/>
      <c r="AT520" s="29"/>
      <c r="AU520" s="29"/>
      <c r="AV520" s="29"/>
      <c r="AW520" s="29"/>
      <c r="AX520" s="29"/>
      <c r="AY520" s="29"/>
      <c r="AZ520" s="29"/>
      <c r="BA520" s="29"/>
      <c r="BB520" s="29"/>
      <c r="BC520" s="29"/>
      <c r="BD520" s="29"/>
      <c r="BE520" s="29"/>
      <c r="BF520" s="29"/>
      <c r="BG520" s="29"/>
      <c r="BH520" s="29"/>
      <c r="BI520" s="29"/>
      <c r="BJ520" s="29"/>
      <c r="BK520" s="29"/>
      <c r="BL520" s="29"/>
      <c r="BM520" s="29"/>
      <c r="BN520" s="29"/>
      <c r="BO520" s="29"/>
      <c r="BP520" s="29"/>
      <c r="BQ520" s="29"/>
      <c r="BR520" s="29"/>
      <c r="BS520" s="29"/>
      <c r="BT520" s="29"/>
      <c r="BU520" s="29"/>
      <c r="BV520" s="29"/>
      <c r="BW520" s="29"/>
      <c r="BX520" s="29"/>
      <c r="BY520" s="29"/>
      <c r="BZ520" s="29"/>
      <c r="CA520" s="29"/>
      <c r="CB520" s="29"/>
      <c r="CC520" s="29"/>
      <c r="CD520" s="29"/>
      <c r="CE520" s="29"/>
      <c r="CF520" s="29"/>
      <c r="CG520" s="29"/>
      <c r="CH520" s="29"/>
      <c r="CI520" s="29"/>
      <c r="CJ520" s="29"/>
      <c r="CK520" s="29"/>
      <c r="CL520" s="29"/>
      <c r="CM520" s="29"/>
      <c r="CN520" s="29"/>
      <c r="CO520" s="29"/>
      <c r="CP520" s="29"/>
      <c r="CQ520" s="29"/>
      <c r="CR520" s="29"/>
      <c r="CS520" s="29"/>
      <c r="CT520" s="29"/>
      <c r="CU520" s="29"/>
      <c r="CV520" s="29"/>
      <c r="CW520" s="29"/>
      <c r="CX520" s="29"/>
      <c r="CY520" s="29"/>
      <c r="CZ520" s="29"/>
      <c r="DA520" s="29"/>
      <c r="DB520" s="29"/>
      <c r="DC520" s="29"/>
      <c r="DD520" s="29"/>
      <c r="DE520" s="29"/>
      <c r="DF520" s="29"/>
      <c r="DG520" s="29"/>
      <c r="DH520" s="29"/>
      <c r="DI520" s="29"/>
      <c r="DJ520" s="29"/>
      <c r="DK520" s="29"/>
      <c r="DL520" s="29"/>
      <c r="DM520" s="29"/>
      <c r="DN520" s="29"/>
      <c r="DO520" s="29"/>
      <c r="DP520" s="29"/>
      <c r="DQ520" s="29"/>
      <c r="DR520" s="29"/>
      <c r="DS520" s="29"/>
      <c r="DT520" s="29"/>
      <c r="DU520" s="29"/>
      <c r="DV520" s="29"/>
      <c r="DW520" s="29"/>
      <c r="DX520" s="29"/>
      <c r="DY520" s="29"/>
      <c r="DZ520" s="29"/>
      <c r="EA520" s="29"/>
      <c r="EB520" s="29"/>
      <c r="EC520" s="29"/>
      <c r="ED520" s="29"/>
      <c r="EE520" s="29"/>
      <c r="EF520" s="29"/>
      <c r="EG520" s="29"/>
      <c r="EH520" s="29"/>
      <c r="EI520" s="29"/>
      <c r="EJ520" s="29"/>
      <c r="EK520" s="29"/>
      <c r="EL520" s="29"/>
      <c r="EM520" s="29"/>
      <c r="EN520" s="29"/>
      <c r="EO520" s="29"/>
      <c r="EP520" s="29"/>
      <c r="EQ520" s="29"/>
      <c r="ER520" s="29"/>
      <c r="ES520" s="29"/>
      <c r="ET520" s="29"/>
      <c r="EU520" s="29"/>
      <c r="EV520" s="29"/>
      <c r="EW520" s="29"/>
      <c r="EX520" s="29"/>
      <c r="EY520" s="29"/>
      <c r="EZ520" s="29"/>
      <c r="FA520" s="29"/>
      <c r="FB520" s="29"/>
      <c r="FC520" s="29"/>
      <c r="FD520" s="29"/>
      <c r="FE520" s="29"/>
      <c r="FF520" s="29"/>
      <c r="FG520" s="29"/>
      <c r="FH520" s="29"/>
      <c r="FI520" s="29"/>
      <c r="FJ520" s="29"/>
      <c r="FK520" s="29"/>
      <c r="FL520" s="29"/>
      <c r="FM520" s="29"/>
      <c r="FN520" s="29"/>
      <c r="FO520" s="29"/>
      <c r="FP520" s="29"/>
      <c r="FQ520" s="29"/>
      <c r="FR520" s="29"/>
      <c r="FS520" s="29"/>
      <c r="FT520" s="29"/>
      <c r="FU520" s="29"/>
      <c r="FV520" s="29"/>
      <c r="FW520" s="29"/>
      <c r="FX520" s="29"/>
      <c r="FY520" s="29"/>
      <c r="FZ520" s="29"/>
      <c r="GA520" s="29"/>
      <c r="GB520" s="29"/>
      <c r="GC520" s="29"/>
      <c r="GD520" s="29"/>
      <c r="GE520" s="29"/>
      <c r="GF520" s="29"/>
      <c r="GG520" s="29"/>
      <c r="GH520" s="29"/>
      <c r="GI520" s="29"/>
      <c r="GJ520" s="29"/>
      <c r="GK520" s="29"/>
      <c r="GL520" s="29"/>
      <c r="GM520" s="29"/>
      <c r="GN520" s="29"/>
      <c r="GO520" s="29"/>
      <c r="GP520" s="29"/>
      <c r="GQ520" s="29"/>
      <c r="GR520" s="29"/>
      <c r="GS520" s="29"/>
      <c r="GT520" s="29"/>
      <c r="GU520" s="29"/>
      <c r="GV520" s="29"/>
      <c r="GW520" s="29"/>
      <c r="GX520" s="29"/>
      <c r="GY520" s="29"/>
      <c r="GZ520" s="29"/>
      <c r="HA520" s="29"/>
      <c r="HB520" s="29"/>
      <c r="HC520" s="29"/>
      <c r="HD520" s="29"/>
      <c r="HE520" s="29"/>
      <c r="HF520" s="29"/>
      <c r="HG520" s="29"/>
      <c r="HH520" s="29"/>
      <c r="HI520" s="29"/>
      <c r="HJ520" s="29"/>
      <c r="HK520" s="29"/>
      <c r="HL520" s="29"/>
      <c r="HM520" s="29"/>
      <c r="HN520" s="29"/>
      <c r="HO520" s="29"/>
      <c r="HP520" s="29"/>
      <c r="HQ520" s="29"/>
      <c r="HR520" s="29"/>
      <c r="HS520" s="29"/>
      <c r="HT520" s="29"/>
      <c r="HU520" s="29"/>
      <c r="HV520" s="29"/>
      <c r="HW520" s="29"/>
      <c r="HX520" s="29"/>
      <c r="HY520" s="29"/>
      <c r="HZ520" s="29"/>
      <c r="IA520" s="29"/>
      <c r="IB520" s="29"/>
      <c r="IC520" s="29"/>
      <c r="ID520" s="29"/>
      <c r="IE520" s="29"/>
      <c r="IF520" s="29"/>
      <c r="IG520" s="29"/>
      <c r="IH520" s="29"/>
      <c r="II520" s="29"/>
      <c r="IJ520" s="29"/>
      <c r="IK520" s="29"/>
      <c r="IL520" s="29"/>
      <c r="IM520" s="29"/>
      <c r="IN520" s="29"/>
      <c r="IO520" s="29"/>
      <c r="IP520" s="29"/>
      <c r="IQ520" s="29"/>
      <c r="IR520" s="29"/>
      <c r="IS520" s="29"/>
      <c r="IT520" s="29"/>
      <c r="IU520" s="29"/>
      <c r="IV520" s="29"/>
      <c r="IW520" s="29"/>
      <c r="IX520" s="29"/>
      <c r="IY520" s="29"/>
      <c r="IZ520" s="29"/>
      <c r="JA520" s="29"/>
      <c r="JB520" s="29"/>
      <c r="JC520" s="29"/>
      <c r="JD520" s="29"/>
      <c r="JE520" s="29"/>
      <c r="JF520" s="29"/>
      <c r="JG520" s="29"/>
      <c r="JH520" s="29"/>
      <c r="JI520" s="29"/>
      <c r="JJ520" s="29"/>
      <c r="JK520" s="29"/>
      <c r="JL520" s="29"/>
      <c r="JM520" s="29"/>
      <c r="JN520" s="29"/>
      <c r="JO520" s="29"/>
      <c r="JP520" s="29"/>
      <c r="JQ520" s="29"/>
      <c r="JR520" s="29"/>
      <c r="JS520" s="29"/>
      <c r="JT520" s="29"/>
      <c r="JU520" s="29"/>
      <c r="JV520" s="29"/>
      <c r="JW520" s="29"/>
      <c r="JX520" s="29"/>
      <c r="JY520" s="29"/>
      <c r="JZ520" s="29"/>
      <c r="KA520" s="29"/>
      <c r="KB520" s="29"/>
      <c r="KC520" s="29"/>
      <c r="KD520" s="29"/>
      <c r="KE520" s="29"/>
      <c r="KF520" s="29"/>
      <c r="KG520" s="29"/>
      <c r="KH520" s="29"/>
      <c r="KI520" s="29"/>
      <c r="KJ520" s="29"/>
      <c r="KK520" s="29"/>
      <c r="KL520" s="29"/>
      <c r="KM520" s="29"/>
      <c r="KN520" s="29"/>
      <c r="KO520" s="29"/>
      <c r="KP520" s="29"/>
      <c r="KQ520" s="29"/>
      <c r="KR520" s="29"/>
      <c r="KS520" s="29"/>
      <c r="KT520" s="29"/>
      <c r="KU520" s="29"/>
      <c r="KV520" s="29"/>
      <c r="KW520" s="29"/>
      <c r="KX520" s="29"/>
      <c r="KY520" s="29"/>
      <c r="KZ520" s="29"/>
      <c r="LA520" s="29"/>
      <c r="LB520" s="29"/>
      <c r="LC520" s="29"/>
      <c r="LD520" s="29"/>
      <c r="LE520" s="29"/>
      <c r="LF520" s="29"/>
      <c r="LG520" s="29"/>
      <c r="LH520" s="29"/>
      <c r="LI520" s="29"/>
      <c r="LJ520" s="29"/>
      <c r="LK520" s="29"/>
      <c r="LL520" s="29"/>
      <c r="LM520" s="29"/>
      <c r="LN520" s="29"/>
      <c r="LO520" s="29"/>
      <c r="LP520" s="29"/>
      <c r="LQ520" s="29"/>
      <c r="LR520" s="29"/>
      <c r="LS520" s="29"/>
      <c r="LT520" s="29"/>
      <c r="LU520" s="29"/>
      <c r="LV520" s="29"/>
      <c r="LW520" s="29"/>
      <c r="LX520" s="29"/>
      <c r="LY520" s="29"/>
      <c r="LZ520" s="29"/>
      <c r="MA520" s="29"/>
      <c r="MB520" s="29"/>
      <c r="MC520" s="29"/>
      <c r="MD520" s="29"/>
      <c r="ME520" s="29"/>
      <c r="MF520" s="29"/>
      <c r="MG520" s="29"/>
      <c r="MH520" s="29"/>
      <c r="MI520" s="29"/>
      <c r="MJ520" s="29"/>
      <c r="MK520" s="29"/>
      <c r="ML520" s="29"/>
      <c r="MM520" s="29"/>
      <c r="MN520" s="29"/>
      <c r="MO520" s="29"/>
      <c r="MP520" s="29"/>
      <c r="MQ520" s="29"/>
      <c r="MR520" s="29"/>
      <c r="MS520" s="29"/>
      <c r="MT520" s="29"/>
      <c r="MU520" s="29"/>
      <c r="MV520" s="29"/>
      <c r="MW520" s="29"/>
      <c r="MX520" s="29"/>
      <c r="MY520" s="29"/>
      <c r="MZ520" s="29"/>
      <c r="NA520" s="29"/>
      <c r="NB520" s="29"/>
      <c r="NC520" s="29"/>
      <c r="ND520" s="29"/>
      <c r="NE520" s="29"/>
      <c r="NF520" s="29"/>
      <c r="NG520" s="29"/>
      <c r="NH520" s="29"/>
      <c r="NI520" s="29"/>
      <c r="NJ520" s="29"/>
      <c r="NK520" s="29"/>
      <c r="NL520" s="29"/>
      <c r="NM520" s="29"/>
      <c r="NN520" s="29"/>
      <c r="NO520" s="29"/>
      <c r="NP520" s="29"/>
      <c r="NQ520" s="29"/>
      <c r="NR520" s="29"/>
      <c r="NS520" s="29"/>
      <c r="NT520" s="29"/>
      <c r="NU520" s="29"/>
      <c r="NV520" s="29"/>
      <c r="NW520" s="29"/>
      <c r="NX520" s="29"/>
      <c r="NY520" s="29"/>
      <c r="NZ520" s="29"/>
      <c r="OA520" s="29"/>
      <c r="OB520" s="29"/>
      <c r="OC520" s="29"/>
      <c r="OD520" s="29"/>
      <c r="OE520" s="29"/>
      <c r="OF520" s="29"/>
      <c r="OG520" s="29"/>
      <c r="OH520" s="29"/>
      <c r="OI520" s="29"/>
      <c r="OJ520" s="29"/>
      <c r="OK520" s="29"/>
      <c r="OL520" s="29"/>
      <c r="OM520" s="29"/>
      <c r="ON520" s="29"/>
      <c r="OO520" s="29"/>
      <c r="OP520" s="29"/>
      <c r="OQ520" s="29"/>
      <c r="OR520" s="29"/>
      <c r="OS520" s="29"/>
      <c r="OT520" s="29"/>
      <c r="OU520" s="29"/>
      <c r="OV520" s="29"/>
      <c r="OW520" s="29"/>
      <c r="OX520" s="29"/>
      <c r="OY520" s="29"/>
      <c r="OZ520" s="29"/>
      <c r="PA520" s="29"/>
      <c r="PB520" s="29"/>
      <c r="PC520" s="29"/>
      <c r="PD520" s="29"/>
      <c r="PE520" s="29"/>
      <c r="PF520" s="29"/>
      <c r="PG520" s="29"/>
      <c r="PH520" s="29"/>
      <c r="PI520" s="29"/>
      <c r="PJ520" s="29"/>
      <c r="PK520" s="29"/>
      <c r="PL520" s="29"/>
      <c r="PM520" s="29"/>
      <c r="PN520" s="29"/>
      <c r="PO520" s="29"/>
      <c r="PP520" s="29"/>
      <c r="PQ520" s="29"/>
      <c r="PR520" s="29"/>
      <c r="PS520" s="29"/>
      <c r="PT520" s="29"/>
      <c r="PU520" s="29"/>
      <c r="PV520" s="29"/>
      <c r="PW520" s="29"/>
      <c r="PX520" s="29"/>
      <c r="PY520" s="29"/>
      <c r="PZ520" s="29"/>
      <c r="QA520" s="29"/>
      <c r="QB520" s="29"/>
      <c r="QC520" s="29"/>
      <c r="QD520" s="29"/>
      <c r="QE520" s="29"/>
      <c r="QF520" s="29"/>
      <c r="QG520" s="29"/>
      <c r="QH520" s="29"/>
      <c r="QI520" s="29"/>
      <c r="QJ520" s="29"/>
      <c r="QK520" s="29"/>
      <c r="QL520" s="29"/>
      <c r="QM520" s="29"/>
      <c r="QN520" s="29"/>
      <c r="QO520" s="29"/>
      <c r="QP520" s="29"/>
      <c r="QQ520" s="29"/>
      <c r="QR520" s="29"/>
      <c r="QS520" s="29"/>
      <c r="QT520" s="29"/>
      <c r="QU520" s="29"/>
      <c r="QV520" s="29"/>
      <c r="QW520" s="29"/>
      <c r="QX520" s="29"/>
      <c r="QY520" s="29"/>
      <c r="QZ520" s="29"/>
      <c r="RA520" s="29"/>
      <c r="RB520" s="29"/>
      <c r="RC520" s="29"/>
      <c r="RD520" s="29"/>
      <c r="RE520" s="29"/>
      <c r="RF520" s="29"/>
      <c r="RG520" s="29"/>
      <c r="RH520" s="29"/>
      <c r="RI520" s="29"/>
      <c r="RJ520" s="29"/>
      <c r="RK520" s="29"/>
      <c r="RL520" s="29"/>
      <c r="RM520" s="29"/>
      <c r="RN520" s="29"/>
      <c r="RO520" s="29"/>
      <c r="RP520" s="29"/>
      <c r="RQ520" s="29"/>
      <c r="RR520" s="29"/>
      <c r="RS520" s="29"/>
      <c r="RT520" s="29"/>
      <c r="RU520" s="29"/>
      <c r="RV520" s="29"/>
      <c r="RW520" s="29"/>
      <c r="RX520" s="29"/>
      <c r="RY520" s="29"/>
      <c r="RZ520" s="29"/>
      <c r="SA520" s="29"/>
      <c r="SB520" s="29"/>
      <c r="SC520" s="29"/>
      <c r="SD520" s="29"/>
      <c r="SE520" s="29"/>
      <c r="SF520" s="29"/>
      <c r="SG520" s="29"/>
      <c r="SH520" s="29"/>
      <c r="SI520" s="29"/>
      <c r="SJ520" s="29"/>
      <c r="SK520" s="29"/>
      <c r="SL520" s="29"/>
      <c r="SM520" s="29"/>
      <c r="SN520" s="29"/>
      <c r="SO520" s="29"/>
      <c r="SP520" s="29"/>
      <c r="SQ520" s="29"/>
      <c r="SR520" s="29"/>
      <c r="SS520" s="29"/>
      <c r="ST520" s="29"/>
      <c r="SU520" s="29"/>
      <c r="SV520" s="29"/>
      <c r="SW520" s="29"/>
      <c r="SX520" s="29"/>
      <c r="SY520" s="29"/>
      <c r="SZ520" s="29"/>
      <c r="TA520" s="29"/>
      <c r="TB520" s="29"/>
      <c r="TC520" s="29"/>
      <c r="TD520" s="29"/>
      <c r="TE520" s="29"/>
      <c r="TF520" s="29"/>
      <c r="TG520" s="29"/>
      <c r="TH520" s="29"/>
      <c r="TI520" s="29"/>
      <c r="TJ520" s="29"/>
      <c r="TK520" s="29"/>
      <c r="TL520" s="29"/>
      <c r="TM520" s="29"/>
      <c r="TN520" s="29"/>
      <c r="TO520" s="29"/>
      <c r="TP520" s="29"/>
      <c r="TQ520" s="29"/>
      <c r="TR520" s="29"/>
      <c r="TS520" s="29"/>
      <c r="TT520" s="29"/>
      <c r="TU520" s="29"/>
      <c r="TV520" s="29"/>
      <c r="TW520" s="29"/>
      <c r="TX520" s="29"/>
      <c r="TY520" s="29"/>
      <c r="TZ520" s="29"/>
      <c r="UA520" s="29"/>
      <c r="UB520" s="29"/>
      <c r="UC520" s="29"/>
      <c r="UD520" s="29"/>
      <c r="UE520" s="29"/>
      <c r="UF520" s="29"/>
      <c r="UG520" s="29"/>
      <c r="UH520" s="29"/>
      <c r="UI520" s="29"/>
      <c r="UJ520" s="29"/>
      <c r="UK520" s="29"/>
      <c r="UL520" s="29"/>
      <c r="UM520" s="29"/>
      <c r="UN520" s="29"/>
      <c r="UO520" s="29"/>
      <c r="UP520" s="29"/>
      <c r="UQ520" s="29"/>
      <c r="UR520" s="29"/>
      <c r="US520" s="29"/>
      <c r="UT520" s="29"/>
      <c r="UU520" s="29"/>
      <c r="UV520" s="29"/>
      <c r="UW520" s="29"/>
      <c r="UX520" s="29"/>
      <c r="UY520" s="29"/>
      <c r="UZ520" s="29"/>
      <c r="VA520" s="29"/>
      <c r="VB520" s="29"/>
      <c r="VC520" s="29"/>
      <c r="VD520" s="29"/>
      <c r="VE520" s="29"/>
      <c r="VF520" s="29"/>
      <c r="VG520" s="29"/>
      <c r="VH520" s="29"/>
      <c r="VI520" s="29"/>
      <c r="VJ520" s="29"/>
      <c r="VK520" s="29"/>
      <c r="VL520" s="29"/>
      <c r="VM520" s="29"/>
      <c r="VN520" s="29"/>
      <c r="VO520" s="29"/>
      <c r="VP520" s="29"/>
      <c r="VQ520" s="29"/>
      <c r="VR520" s="29"/>
      <c r="VS520" s="29"/>
      <c r="VT520" s="29"/>
      <c r="VU520" s="29"/>
      <c r="VV520" s="29"/>
      <c r="VW520" s="29"/>
      <c r="VX520" s="29"/>
      <c r="VY520" s="29"/>
      <c r="VZ520" s="29"/>
      <c r="WA520" s="29"/>
      <c r="WB520" s="29"/>
    </row>
    <row r="551" spans="15:40" x14ac:dyDescent="0.3">
      <c r="O551" s="28"/>
      <c r="P551" s="28"/>
      <c r="Q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</row>
    <row r="552" spans="15:40" x14ac:dyDescent="0.3">
      <c r="O552" s="28"/>
      <c r="P552" s="28"/>
      <c r="Q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</row>
    <row r="581" spans="1:600" ht="79.2" customHeight="1" x14ac:dyDescent="0.3">
      <c r="I581" s="28"/>
      <c r="J581" s="28"/>
      <c r="K581" s="28"/>
      <c r="L581" s="28"/>
      <c r="M581" s="28"/>
      <c r="N581" s="28"/>
      <c r="AO581" s="28"/>
      <c r="AP581" s="28"/>
      <c r="AQ581" s="28"/>
      <c r="AR581" s="28"/>
      <c r="AS581" s="28"/>
      <c r="AT581" s="28"/>
    </row>
    <row r="582" spans="1:600" ht="79.2" customHeight="1" x14ac:dyDescent="0.3">
      <c r="I582" s="28"/>
      <c r="J582" s="28"/>
      <c r="K582" s="28"/>
      <c r="L582" s="28"/>
      <c r="M582" s="28"/>
      <c r="N582" s="28"/>
      <c r="AO582" s="28"/>
      <c r="AP582" s="28"/>
      <c r="AQ582" s="28"/>
      <c r="AR582" s="28"/>
      <c r="AS582" s="28"/>
      <c r="AT582" s="28"/>
    </row>
    <row r="585" spans="1:600" x14ac:dyDescent="0.3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  <c r="AJ585" s="29"/>
      <c r="AK585" s="29"/>
      <c r="AL585" s="29"/>
      <c r="AM585" s="29"/>
      <c r="AN585" s="29"/>
      <c r="AO585" s="29"/>
      <c r="AP585" s="29"/>
      <c r="AQ585" s="29"/>
      <c r="AR585" s="29"/>
      <c r="AS585" s="29"/>
      <c r="AT585" s="29"/>
      <c r="AU585" s="29"/>
      <c r="AV585" s="29"/>
      <c r="AW585" s="29"/>
      <c r="AX585" s="29"/>
      <c r="AY585" s="29"/>
      <c r="AZ585" s="29"/>
      <c r="BA585" s="29"/>
      <c r="BB585" s="29"/>
      <c r="BC585" s="29"/>
      <c r="BD585" s="29"/>
      <c r="BE585" s="29"/>
      <c r="BF585" s="29"/>
      <c r="BG585" s="29"/>
      <c r="BH585" s="29"/>
      <c r="BI585" s="29"/>
      <c r="BJ585" s="29"/>
      <c r="BK585" s="29"/>
      <c r="BL585" s="29"/>
      <c r="BM585" s="29"/>
      <c r="BN585" s="29"/>
      <c r="BO585" s="29"/>
      <c r="BP585" s="29"/>
      <c r="BQ585" s="29"/>
      <c r="BR585" s="29"/>
      <c r="BS585" s="29"/>
      <c r="BT585" s="29"/>
      <c r="BU585" s="29"/>
      <c r="BV585" s="29"/>
      <c r="BW585" s="29"/>
      <c r="BX585" s="29"/>
      <c r="BY585" s="29"/>
      <c r="BZ585" s="29"/>
      <c r="CA585" s="29"/>
      <c r="CB585" s="29"/>
      <c r="CC585" s="29"/>
      <c r="CD585" s="29"/>
      <c r="CE585" s="29"/>
      <c r="CF585" s="29"/>
      <c r="CG585" s="29"/>
      <c r="CH585" s="29"/>
      <c r="CI585" s="29"/>
      <c r="CJ585" s="29"/>
      <c r="CK585" s="29"/>
      <c r="CL585" s="29"/>
      <c r="CM585" s="29"/>
      <c r="CN585" s="29"/>
      <c r="CO585" s="29"/>
      <c r="CP585" s="29"/>
      <c r="CQ585" s="29"/>
      <c r="CR585" s="29"/>
      <c r="CS585" s="29"/>
      <c r="CT585" s="29"/>
      <c r="CU585" s="29"/>
      <c r="CV585" s="29"/>
      <c r="CW585" s="29"/>
      <c r="CX585" s="29"/>
      <c r="CY585" s="29"/>
      <c r="CZ585" s="29"/>
      <c r="DA585" s="29"/>
      <c r="DB585" s="29"/>
      <c r="DC585" s="29"/>
      <c r="DD585" s="29"/>
      <c r="DE585" s="29"/>
      <c r="DF585" s="29"/>
      <c r="DG585" s="29"/>
      <c r="DH585" s="29"/>
      <c r="DI585" s="29"/>
      <c r="DJ585" s="29"/>
      <c r="DK585" s="29"/>
      <c r="DL585" s="29"/>
      <c r="DM585" s="29"/>
      <c r="DN585" s="29"/>
      <c r="DO585" s="29"/>
      <c r="DP585" s="29"/>
      <c r="DQ585" s="29"/>
      <c r="DR585" s="29"/>
      <c r="DS585" s="29"/>
      <c r="DT585" s="29"/>
      <c r="DU585" s="29"/>
      <c r="DV585" s="29"/>
      <c r="DW585" s="29"/>
      <c r="DX585" s="29"/>
      <c r="DY585" s="29"/>
      <c r="DZ585" s="29"/>
      <c r="EA585" s="29"/>
      <c r="EB585" s="29"/>
      <c r="EC585" s="29"/>
      <c r="ED585" s="29"/>
      <c r="EE585" s="29"/>
      <c r="EF585" s="29"/>
      <c r="EG585" s="29"/>
      <c r="EH585" s="29"/>
      <c r="EI585" s="29"/>
      <c r="EJ585" s="29"/>
      <c r="EK585" s="29"/>
      <c r="EL585" s="29"/>
      <c r="EM585" s="29"/>
      <c r="EN585" s="29"/>
      <c r="EO585" s="29"/>
      <c r="EP585" s="29"/>
      <c r="EQ585" s="29"/>
      <c r="ER585" s="29"/>
      <c r="ES585" s="29"/>
      <c r="ET585" s="29"/>
      <c r="EU585" s="29"/>
      <c r="EV585" s="29"/>
      <c r="EW585" s="29"/>
      <c r="EX585" s="29"/>
      <c r="EY585" s="29"/>
      <c r="EZ585" s="29"/>
      <c r="FA585" s="29"/>
      <c r="FB585" s="29"/>
      <c r="FC585" s="29"/>
      <c r="FD585" s="29"/>
      <c r="FE585" s="29"/>
      <c r="FF585" s="29"/>
      <c r="FG585" s="29"/>
      <c r="FH585" s="29"/>
      <c r="FI585" s="29"/>
      <c r="FJ585" s="29"/>
      <c r="FK585" s="29"/>
      <c r="FL585" s="29"/>
      <c r="FM585" s="29"/>
      <c r="FN585" s="29"/>
      <c r="FO585" s="29"/>
      <c r="FP585" s="29"/>
      <c r="FQ585" s="29"/>
      <c r="FR585" s="29"/>
      <c r="FS585" s="29"/>
      <c r="FT585" s="29"/>
      <c r="FU585" s="29"/>
      <c r="FV585" s="29"/>
      <c r="FW585" s="29"/>
      <c r="FX585" s="29"/>
      <c r="FY585" s="29"/>
      <c r="FZ585" s="29"/>
      <c r="GA585" s="29"/>
      <c r="GB585" s="29"/>
      <c r="GC585" s="29"/>
      <c r="GD585" s="29"/>
      <c r="GE585" s="29"/>
      <c r="GF585" s="29"/>
      <c r="GG585" s="29"/>
      <c r="GH585" s="29"/>
      <c r="GI585" s="29"/>
      <c r="GJ585" s="29"/>
      <c r="GK585" s="29"/>
      <c r="GL585" s="29"/>
      <c r="GM585" s="29"/>
      <c r="GN585" s="29"/>
      <c r="GO585" s="29"/>
      <c r="GP585" s="29"/>
      <c r="GQ585" s="29"/>
      <c r="GR585" s="29"/>
      <c r="GS585" s="29"/>
      <c r="GT585" s="29"/>
      <c r="GU585" s="29"/>
      <c r="GV585" s="29"/>
      <c r="GW585" s="29"/>
      <c r="GX585" s="29"/>
      <c r="GY585" s="29"/>
      <c r="GZ585" s="29"/>
      <c r="HA585" s="29"/>
      <c r="HB585" s="29"/>
      <c r="HC585" s="29"/>
      <c r="HD585" s="29"/>
      <c r="HE585" s="29"/>
      <c r="HF585" s="29"/>
      <c r="HG585" s="29"/>
      <c r="HH585" s="29"/>
      <c r="HI585" s="29"/>
      <c r="HJ585" s="29"/>
      <c r="HK585" s="29"/>
      <c r="HL585" s="29"/>
      <c r="HM585" s="29"/>
      <c r="HN585" s="29"/>
      <c r="HO585" s="29"/>
      <c r="HP585" s="29"/>
      <c r="HQ585" s="29"/>
      <c r="HR585" s="29"/>
      <c r="HS585" s="29"/>
      <c r="HT585" s="29"/>
      <c r="HU585" s="29"/>
      <c r="HV585" s="29"/>
      <c r="HW585" s="29"/>
      <c r="HX585" s="29"/>
      <c r="HY585" s="29"/>
      <c r="HZ585" s="29"/>
      <c r="IA585" s="29"/>
      <c r="IB585" s="29"/>
      <c r="IC585" s="29"/>
      <c r="ID585" s="29"/>
      <c r="IE585" s="29"/>
      <c r="IF585" s="29"/>
      <c r="IG585" s="29"/>
      <c r="IH585" s="29"/>
      <c r="II585" s="29"/>
      <c r="IJ585" s="29"/>
      <c r="IK585" s="29"/>
      <c r="IL585" s="29"/>
      <c r="IM585" s="29"/>
      <c r="IN585" s="29"/>
      <c r="IO585" s="29"/>
      <c r="IP585" s="29"/>
      <c r="IQ585" s="29"/>
      <c r="IR585" s="29"/>
      <c r="IS585" s="29"/>
      <c r="IT585" s="29"/>
      <c r="IU585" s="29"/>
      <c r="IV585" s="29"/>
      <c r="IW585" s="29"/>
      <c r="IX585" s="29"/>
      <c r="IY585" s="29"/>
      <c r="IZ585" s="29"/>
      <c r="JA585" s="29"/>
      <c r="JB585" s="29"/>
      <c r="JC585" s="29"/>
      <c r="JD585" s="29"/>
      <c r="JE585" s="29"/>
      <c r="JF585" s="29"/>
      <c r="JG585" s="29"/>
      <c r="JH585" s="29"/>
      <c r="JI585" s="29"/>
      <c r="JJ585" s="29"/>
      <c r="JK585" s="29"/>
      <c r="JL585" s="29"/>
      <c r="JM585" s="29"/>
      <c r="JN585" s="29"/>
      <c r="JO585" s="29"/>
      <c r="JP585" s="29"/>
      <c r="JQ585" s="29"/>
      <c r="JR585" s="29"/>
      <c r="JS585" s="29"/>
      <c r="JT585" s="29"/>
      <c r="JU585" s="29"/>
      <c r="JV585" s="29"/>
      <c r="JW585" s="29"/>
      <c r="JX585" s="29"/>
      <c r="JY585" s="29"/>
      <c r="JZ585" s="29"/>
      <c r="KA585" s="29"/>
      <c r="KB585" s="29"/>
      <c r="KC585" s="29"/>
      <c r="KD585" s="29"/>
      <c r="KE585" s="29"/>
      <c r="KF585" s="29"/>
      <c r="KG585" s="29"/>
      <c r="KH585" s="29"/>
      <c r="KI585" s="29"/>
      <c r="KJ585" s="29"/>
      <c r="KK585" s="29"/>
      <c r="KL585" s="29"/>
      <c r="KM585" s="29"/>
      <c r="KN585" s="29"/>
      <c r="KO585" s="29"/>
      <c r="KP585" s="29"/>
      <c r="KQ585" s="29"/>
      <c r="KR585" s="29"/>
      <c r="KS585" s="29"/>
      <c r="KT585" s="29"/>
      <c r="KU585" s="29"/>
      <c r="KV585" s="29"/>
      <c r="KW585" s="29"/>
      <c r="KX585" s="29"/>
      <c r="KY585" s="29"/>
      <c r="KZ585" s="29"/>
      <c r="LA585" s="29"/>
      <c r="LB585" s="29"/>
      <c r="LC585" s="29"/>
      <c r="LD585" s="29"/>
      <c r="LE585" s="29"/>
      <c r="LF585" s="29"/>
      <c r="LG585" s="29"/>
      <c r="LH585" s="29"/>
      <c r="LI585" s="29"/>
      <c r="LJ585" s="29"/>
      <c r="LK585" s="29"/>
      <c r="LL585" s="29"/>
      <c r="LM585" s="29"/>
      <c r="LN585" s="29"/>
      <c r="LO585" s="29"/>
      <c r="LP585" s="29"/>
      <c r="LQ585" s="29"/>
      <c r="LR585" s="29"/>
      <c r="LS585" s="29"/>
      <c r="LT585" s="29"/>
      <c r="LU585" s="29"/>
      <c r="LV585" s="29"/>
      <c r="LW585" s="29"/>
      <c r="LX585" s="29"/>
      <c r="LY585" s="29"/>
      <c r="LZ585" s="29"/>
      <c r="MA585" s="29"/>
      <c r="MB585" s="29"/>
      <c r="MC585" s="29"/>
      <c r="MD585" s="29"/>
      <c r="ME585" s="29"/>
      <c r="MF585" s="29"/>
      <c r="MG585" s="29"/>
      <c r="MH585" s="29"/>
      <c r="MI585" s="29"/>
      <c r="MJ585" s="29"/>
      <c r="MK585" s="29"/>
      <c r="ML585" s="29"/>
      <c r="MM585" s="29"/>
      <c r="MN585" s="29"/>
      <c r="MO585" s="29"/>
      <c r="MP585" s="29"/>
      <c r="MQ585" s="29"/>
      <c r="MR585" s="29"/>
      <c r="MS585" s="29"/>
      <c r="MT585" s="29"/>
      <c r="MU585" s="29"/>
      <c r="MV585" s="29"/>
      <c r="MW585" s="29"/>
      <c r="MX585" s="29"/>
      <c r="MY585" s="29"/>
      <c r="MZ585" s="29"/>
      <c r="NA585" s="29"/>
      <c r="NB585" s="29"/>
      <c r="NC585" s="29"/>
      <c r="ND585" s="29"/>
      <c r="NE585" s="29"/>
      <c r="NF585" s="29"/>
      <c r="NG585" s="29"/>
      <c r="NH585" s="29"/>
      <c r="NI585" s="29"/>
      <c r="NJ585" s="29"/>
      <c r="NK585" s="29"/>
      <c r="NL585" s="29"/>
      <c r="NM585" s="29"/>
      <c r="NN585" s="29"/>
      <c r="NO585" s="29"/>
      <c r="NP585" s="29"/>
      <c r="NQ585" s="29"/>
      <c r="NR585" s="29"/>
      <c r="NS585" s="29"/>
      <c r="NT585" s="29"/>
      <c r="NU585" s="29"/>
      <c r="NV585" s="29"/>
      <c r="NW585" s="29"/>
      <c r="NX585" s="29"/>
      <c r="NY585" s="29"/>
      <c r="NZ585" s="29"/>
      <c r="OA585" s="29"/>
      <c r="OB585" s="29"/>
      <c r="OC585" s="29"/>
      <c r="OD585" s="29"/>
      <c r="OE585" s="29"/>
      <c r="OF585" s="29"/>
      <c r="OG585" s="29"/>
      <c r="OH585" s="29"/>
      <c r="OI585" s="29"/>
      <c r="OJ585" s="29"/>
      <c r="OK585" s="29"/>
      <c r="OL585" s="29"/>
      <c r="OM585" s="29"/>
      <c r="ON585" s="29"/>
      <c r="OO585" s="29"/>
      <c r="OP585" s="29"/>
      <c r="OQ585" s="29"/>
      <c r="OR585" s="29"/>
      <c r="OS585" s="29"/>
      <c r="OT585" s="29"/>
      <c r="OU585" s="29"/>
      <c r="OV585" s="29"/>
      <c r="OW585" s="29"/>
      <c r="OX585" s="29"/>
      <c r="OY585" s="29"/>
      <c r="OZ585" s="29"/>
      <c r="PA585" s="29"/>
      <c r="PB585" s="29"/>
      <c r="PC585" s="29"/>
      <c r="PD585" s="29"/>
      <c r="PE585" s="29"/>
      <c r="PF585" s="29"/>
      <c r="PG585" s="29"/>
      <c r="PH585" s="29"/>
      <c r="PI585" s="29"/>
      <c r="PJ585" s="29"/>
      <c r="PK585" s="29"/>
      <c r="PL585" s="29"/>
      <c r="PM585" s="29"/>
      <c r="PN585" s="29"/>
      <c r="PO585" s="29"/>
      <c r="PP585" s="29"/>
      <c r="PQ585" s="29"/>
      <c r="PR585" s="29"/>
      <c r="PS585" s="29"/>
      <c r="PT585" s="29"/>
      <c r="PU585" s="29"/>
      <c r="PV585" s="29"/>
      <c r="PW585" s="29"/>
      <c r="PX585" s="29"/>
      <c r="PY585" s="29"/>
      <c r="PZ585" s="29"/>
      <c r="QA585" s="29"/>
      <c r="QB585" s="29"/>
      <c r="QC585" s="29"/>
      <c r="QD585" s="29"/>
      <c r="QE585" s="29"/>
      <c r="QF585" s="29"/>
      <c r="QG585" s="29"/>
      <c r="QH585" s="29"/>
      <c r="QI585" s="29"/>
      <c r="QJ585" s="29"/>
      <c r="QK585" s="29"/>
      <c r="QL585" s="29"/>
      <c r="QM585" s="29"/>
      <c r="QN585" s="29"/>
      <c r="QO585" s="29"/>
      <c r="QP585" s="29"/>
      <c r="QQ585" s="29"/>
      <c r="QR585" s="29"/>
      <c r="QS585" s="29"/>
      <c r="QT585" s="29"/>
      <c r="QU585" s="29"/>
      <c r="QV585" s="29"/>
      <c r="QW585" s="29"/>
      <c r="QX585" s="29"/>
      <c r="QY585" s="29"/>
      <c r="QZ585" s="29"/>
      <c r="RA585" s="29"/>
      <c r="RB585" s="29"/>
      <c r="RC585" s="29"/>
      <c r="RD585" s="29"/>
      <c r="RE585" s="29"/>
      <c r="RF585" s="29"/>
      <c r="RG585" s="29"/>
      <c r="RH585" s="29"/>
      <c r="RI585" s="29"/>
      <c r="RJ585" s="29"/>
      <c r="RK585" s="29"/>
      <c r="RL585" s="29"/>
      <c r="RM585" s="29"/>
      <c r="RN585" s="29"/>
      <c r="RO585" s="29"/>
      <c r="RP585" s="29"/>
      <c r="RQ585" s="29"/>
      <c r="RR585" s="29"/>
      <c r="RS585" s="29"/>
      <c r="RT585" s="29"/>
      <c r="RU585" s="29"/>
      <c r="RV585" s="29"/>
      <c r="RW585" s="29"/>
      <c r="RX585" s="29"/>
      <c r="RY585" s="29"/>
      <c r="RZ585" s="29"/>
      <c r="SA585" s="29"/>
      <c r="SB585" s="29"/>
      <c r="SC585" s="29"/>
      <c r="SD585" s="29"/>
      <c r="SE585" s="29"/>
      <c r="SF585" s="29"/>
      <c r="SG585" s="29"/>
      <c r="SH585" s="29"/>
      <c r="SI585" s="29"/>
      <c r="SJ585" s="29"/>
      <c r="SK585" s="29"/>
      <c r="SL585" s="29"/>
      <c r="SM585" s="29"/>
      <c r="SN585" s="29"/>
      <c r="SO585" s="29"/>
      <c r="SP585" s="29"/>
      <c r="SQ585" s="29"/>
      <c r="SR585" s="29"/>
      <c r="SS585" s="29"/>
      <c r="ST585" s="29"/>
      <c r="SU585" s="29"/>
      <c r="SV585" s="29"/>
      <c r="SW585" s="29"/>
      <c r="SX585" s="29"/>
      <c r="SY585" s="29"/>
      <c r="SZ585" s="29"/>
      <c r="TA585" s="29"/>
      <c r="TB585" s="29"/>
      <c r="TC585" s="29"/>
      <c r="TD585" s="29"/>
      <c r="TE585" s="29"/>
      <c r="TF585" s="29"/>
      <c r="TG585" s="29"/>
      <c r="TH585" s="29"/>
      <c r="TI585" s="29"/>
      <c r="TJ585" s="29"/>
      <c r="TK585" s="29"/>
      <c r="TL585" s="29"/>
      <c r="TM585" s="29"/>
      <c r="TN585" s="29"/>
      <c r="TO585" s="29"/>
      <c r="TP585" s="29"/>
      <c r="TQ585" s="29"/>
      <c r="TR585" s="29"/>
      <c r="TS585" s="29"/>
      <c r="TT585" s="29"/>
      <c r="TU585" s="29"/>
      <c r="TV585" s="29"/>
      <c r="TW585" s="29"/>
      <c r="TX585" s="29"/>
      <c r="TY585" s="29"/>
      <c r="TZ585" s="29"/>
      <c r="UA585" s="29"/>
      <c r="UB585" s="29"/>
      <c r="UC585" s="29"/>
      <c r="UD585" s="29"/>
      <c r="UE585" s="29"/>
      <c r="UF585" s="29"/>
      <c r="UG585" s="29"/>
      <c r="UH585" s="29"/>
      <c r="UI585" s="29"/>
      <c r="UJ585" s="29"/>
      <c r="UK585" s="29"/>
      <c r="UL585" s="29"/>
      <c r="UM585" s="29"/>
      <c r="UN585" s="29"/>
      <c r="UO585" s="29"/>
      <c r="UP585" s="29"/>
      <c r="UQ585" s="29"/>
      <c r="UR585" s="29"/>
      <c r="US585" s="29"/>
      <c r="UT585" s="29"/>
      <c r="UU585" s="29"/>
      <c r="UV585" s="29"/>
      <c r="UW585" s="29"/>
      <c r="UX585" s="29"/>
      <c r="UY585" s="29"/>
      <c r="UZ585" s="29"/>
      <c r="VA585" s="29"/>
      <c r="VB585" s="29"/>
      <c r="VC585" s="29"/>
      <c r="VD585" s="29"/>
      <c r="VE585" s="29"/>
      <c r="VF585" s="29"/>
      <c r="VG585" s="29"/>
      <c r="VH585" s="29"/>
      <c r="VI585" s="29"/>
      <c r="VJ585" s="29"/>
      <c r="VK585" s="29"/>
      <c r="VL585" s="29"/>
      <c r="VM585" s="29"/>
      <c r="VN585" s="29"/>
      <c r="VO585" s="29"/>
      <c r="VP585" s="29"/>
      <c r="VQ585" s="29"/>
      <c r="VR585" s="29"/>
      <c r="VS585" s="29"/>
      <c r="VT585" s="29"/>
      <c r="VU585" s="29"/>
      <c r="VV585" s="29"/>
      <c r="VW585" s="29"/>
      <c r="VX585" s="29"/>
      <c r="VY585" s="29"/>
      <c r="VZ585" s="29"/>
      <c r="WA585" s="29"/>
      <c r="WB585" s="29"/>
    </row>
    <row r="650" spans="1:600" x14ac:dyDescent="0.3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  <c r="AD650" s="29"/>
      <c r="AE650" s="29"/>
      <c r="AF650" s="29"/>
      <c r="AG650" s="29"/>
      <c r="AH650" s="29"/>
      <c r="AI650" s="29"/>
      <c r="AJ650" s="29"/>
      <c r="AK650" s="29"/>
      <c r="AL650" s="29"/>
      <c r="AM650" s="29"/>
      <c r="AN650" s="29"/>
      <c r="AO650" s="29"/>
      <c r="AP650" s="29"/>
      <c r="AQ650" s="29"/>
      <c r="AR650" s="29"/>
      <c r="AS650" s="29"/>
      <c r="AT650" s="29"/>
      <c r="AU650" s="29"/>
      <c r="AV650" s="29"/>
      <c r="AW650" s="29"/>
      <c r="AX650" s="29"/>
      <c r="AY650" s="29"/>
      <c r="AZ650" s="29"/>
      <c r="BA650" s="29"/>
      <c r="BB650" s="29"/>
      <c r="BC650" s="29"/>
      <c r="BD650" s="29"/>
      <c r="BE650" s="29"/>
      <c r="BF650" s="29"/>
      <c r="BG650" s="29"/>
      <c r="BH650" s="29"/>
      <c r="BI650" s="29"/>
      <c r="BJ650" s="29"/>
      <c r="BK650" s="29"/>
      <c r="BL650" s="29"/>
      <c r="BM650" s="29"/>
      <c r="BN650" s="29"/>
      <c r="BO650" s="29"/>
      <c r="BP650" s="29"/>
      <c r="BQ650" s="29"/>
      <c r="BR650" s="29"/>
      <c r="BS650" s="29"/>
      <c r="BT650" s="29"/>
      <c r="BU650" s="29"/>
      <c r="BV650" s="29"/>
      <c r="BW650" s="29"/>
      <c r="BX650" s="29"/>
      <c r="BY650" s="29"/>
      <c r="BZ650" s="29"/>
      <c r="CA650" s="29"/>
      <c r="CB650" s="29"/>
      <c r="CC650" s="29"/>
      <c r="CD650" s="29"/>
      <c r="CE650" s="29"/>
      <c r="CF650" s="29"/>
      <c r="CG650" s="29"/>
      <c r="CH650" s="29"/>
      <c r="CI650" s="29"/>
      <c r="CJ650" s="29"/>
      <c r="CK650" s="29"/>
      <c r="CL650" s="29"/>
      <c r="CM650" s="29"/>
      <c r="CN650" s="29"/>
      <c r="CO650" s="29"/>
      <c r="CP650" s="29"/>
      <c r="CQ650" s="29"/>
      <c r="CR650" s="29"/>
      <c r="CS650" s="29"/>
      <c r="CT650" s="29"/>
      <c r="CU650" s="29"/>
      <c r="CV650" s="29"/>
      <c r="CW650" s="29"/>
      <c r="CX650" s="29"/>
      <c r="CY650" s="29"/>
      <c r="CZ650" s="29"/>
      <c r="DA650" s="29"/>
      <c r="DB650" s="29"/>
      <c r="DC650" s="29"/>
      <c r="DD650" s="29"/>
      <c r="DE650" s="29"/>
      <c r="DF650" s="29"/>
      <c r="DG650" s="29"/>
      <c r="DH650" s="29"/>
      <c r="DI650" s="29"/>
      <c r="DJ650" s="29"/>
      <c r="DK650" s="29"/>
      <c r="DL650" s="29"/>
      <c r="DM650" s="29"/>
      <c r="DN650" s="29"/>
      <c r="DO650" s="29"/>
      <c r="DP650" s="29"/>
      <c r="DQ650" s="29"/>
      <c r="DR650" s="29"/>
      <c r="DS650" s="29"/>
      <c r="DT650" s="29"/>
      <c r="DU650" s="29"/>
      <c r="DV650" s="29"/>
      <c r="DW650" s="29"/>
      <c r="DX650" s="29"/>
      <c r="DY650" s="29"/>
      <c r="DZ650" s="29"/>
      <c r="EA650" s="29"/>
      <c r="EB650" s="29"/>
      <c r="EC650" s="29"/>
      <c r="ED650" s="29"/>
      <c r="EE650" s="29"/>
      <c r="EF650" s="29"/>
      <c r="EG650" s="29"/>
      <c r="EH650" s="29"/>
      <c r="EI650" s="29"/>
      <c r="EJ650" s="29"/>
      <c r="EK650" s="29"/>
      <c r="EL650" s="29"/>
      <c r="EM650" s="29"/>
      <c r="EN650" s="29"/>
      <c r="EO650" s="29"/>
      <c r="EP650" s="29"/>
      <c r="EQ650" s="29"/>
      <c r="ER650" s="29"/>
      <c r="ES650" s="29"/>
      <c r="ET650" s="29"/>
      <c r="EU650" s="29"/>
      <c r="EV650" s="29"/>
      <c r="EW650" s="29"/>
      <c r="EX650" s="29"/>
      <c r="EY650" s="29"/>
      <c r="EZ650" s="29"/>
      <c r="FA650" s="29"/>
      <c r="FB650" s="29"/>
      <c r="FC650" s="29"/>
      <c r="FD650" s="29"/>
      <c r="FE650" s="29"/>
      <c r="FF650" s="29"/>
      <c r="FG650" s="29"/>
      <c r="FH650" s="29"/>
      <c r="FI650" s="29"/>
      <c r="FJ650" s="29"/>
      <c r="FK650" s="29"/>
      <c r="FL650" s="29"/>
      <c r="FM650" s="29"/>
      <c r="FN650" s="29"/>
      <c r="FO650" s="29"/>
      <c r="FP650" s="29"/>
      <c r="FQ650" s="29"/>
      <c r="FR650" s="29"/>
      <c r="FS650" s="29"/>
      <c r="FT650" s="29"/>
      <c r="FU650" s="29"/>
      <c r="FV650" s="29"/>
      <c r="FW650" s="29"/>
      <c r="FX650" s="29"/>
      <c r="FY650" s="29"/>
      <c r="FZ650" s="29"/>
      <c r="GA650" s="29"/>
      <c r="GB650" s="29"/>
      <c r="GC650" s="29"/>
      <c r="GD650" s="29"/>
      <c r="GE650" s="29"/>
      <c r="GF650" s="29"/>
      <c r="GG650" s="29"/>
      <c r="GH650" s="29"/>
      <c r="GI650" s="29"/>
      <c r="GJ650" s="29"/>
      <c r="GK650" s="29"/>
      <c r="GL650" s="29"/>
      <c r="GM650" s="29"/>
      <c r="GN650" s="29"/>
      <c r="GO650" s="29"/>
      <c r="GP650" s="29"/>
      <c r="GQ650" s="29"/>
      <c r="GR650" s="29"/>
      <c r="GS650" s="29"/>
      <c r="GT650" s="29"/>
      <c r="GU650" s="29"/>
      <c r="GV650" s="29"/>
      <c r="GW650" s="29"/>
      <c r="GX650" s="29"/>
      <c r="GY650" s="29"/>
      <c r="GZ650" s="29"/>
      <c r="HA650" s="29"/>
      <c r="HB650" s="29"/>
      <c r="HC650" s="29"/>
      <c r="HD650" s="29"/>
      <c r="HE650" s="29"/>
      <c r="HF650" s="29"/>
      <c r="HG650" s="29"/>
      <c r="HH650" s="29"/>
      <c r="HI650" s="29"/>
      <c r="HJ650" s="29"/>
      <c r="HK650" s="29"/>
      <c r="HL650" s="29"/>
      <c r="HM650" s="29"/>
      <c r="HN650" s="29"/>
      <c r="HO650" s="29"/>
      <c r="HP650" s="29"/>
      <c r="HQ650" s="29"/>
      <c r="HR650" s="29"/>
      <c r="HS650" s="29"/>
      <c r="HT650" s="29"/>
      <c r="HU650" s="29"/>
      <c r="HV650" s="29"/>
      <c r="HW650" s="29"/>
      <c r="HX650" s="29"/>
      <c r="HY650" s="29"/>
      <c r="HZ650" s="29"/>
      <c r="IA650" s="29"/>
      <c r="IB650" s="29"/>
      <c r="IC650" s="29"/>
      <c r="ID650" s="29"/>
      <c r="IE650" s="29"/>
      <c r="IF650" s="29"/>
      <c r="IG650" s="29"/>
      <c r="IH650" s="29"/>
      <c r="II650" s="29"/>
      <c r="IJ650" s="29"/>
      <c r="IK650" s="29"/>
      <c r="IL650" s="29"/>
      <c r="IM650" s="29"/>
      <c r="IN650" s="29"/>
      <c r="IO650" s="29"/>
      <c r="IP650" s="29"/>
      <c r="IQ650" s="29"/>
      <c r="IR650" s="29"/>
      <c r="IS650" s="29"/>
      <c r="IT650" s="29"/>
      <c r="IU650" s="29"/>
      <c r="IV650" s="29"/>
      <c r="IW650" s="29"/>
      <c r="IX650" s="29"/>
      <c r="IY650" s="29"/>
      <c r="IZ650" s="29"/>
      <c r="JA650" s="29"/>
      <c r="JB650" s="29"/>
      <c r="JC650" s="29"/>
      <c r="JD650" s="29"/>
      <c r="JE650" s="29"/>
      <c r="JF650" s="29"/>
      <c r="JG650" s="29"/>
      <c r="JH650" s="29"/>
      <c r="JI650" s="29"/>
      <c r="JJ650" s="29"/>
      <c r="JK650" s="29"/>
      <c r="JL650" s="29"/>
      <c r="JM650" s="29"/>
      <c r="JN650" s="29"/>
      <c r="JO650" s="29"/>
      <c r="JP650" s="29"/>
      <c r="JQ650" s="29"/>
      <c r="JR650" s="29"/>
      <c r="JS650" s="29"/>
      <c r="JT650" s="29"/>
      <c r="JU650" s="29"/>
      <c r="JV650" s="29"/>
      <c r="JW650" s="29"/>
      <c r="JX650" s="29"/>
      <c r="JY650" s="29"/>
      <c r="JZ650" s="29"/>
      <c r="KA650" s="29"/>
      <c r="KB650" s="29"/>
      <c r="KC650" s="29"/>
      <c r="KD650" s="29"/>
      <c r="KE650" s="29"/>
      <c r="KF650" s="29"/>
      <c r="KG650" s="29"/>
      <c r="KH650" s="29"/>
      <c r="KI650" s="29"/>
      <c r="KJ650" s="29"/>
      <c r="KK650" s="29"/>
      <c r="KL650" s="29"/>
      <c r="KM650" s="29"/>
      <c r="KN650" s="29"/>
      <c r="KO650" s="29"/>
      <c r="KP650" s="29"/>
      <c r="KQ650" s="29"/>
      <c r="KR650" s="29"/>
      <c r="KS650" s="29"/>
      <c r="KT650" s="29"/>
      <c r="KU650" s="29"/>
      <c r="KV650" s="29"/>
      <c r="KW650" s="29"/>
      <c r="KX650" s="29"/>
      <c r="KY650" s="29"/>
      <c r="KZ650" s="29"/>
      <c r="LA650" s="29"/>
      <c r="LB650" s="29"/>
      <c r="LC650" s="29"/>
      <c r="LD650" s="29"/>
      <c r="LE650" s="29"/>
      <c r="LF650" s="29"/>
      <c r="LG650" s="29"/>
      <c r="LH650" s="29"/>
      <c r="LI650" s="29"/>
      <c r="LJ650" s="29"/>
      <c r="LK650" s="29"/>
      <c r="LL650" s="29"/>
      <c r="LM650" s="29"/>
      <c r="LN650" s="29"/>
      <c r="LO650" s="29"/>
      <c r="LP650" s="29"/>
      <c r="LQ650" s="29"/>
      <c r="LR650" s="29"/>
      <c r="LS650" s="29"/>
      <c r="LT650" s="29"/>
      <c r="LU650" s="29"/>
      <c r="LV650" s="29"/>
      <c r="LW650" s="29"/>
      <c r="LX650" s="29"/>
      <c r="LY650" s="29"/>
      <c r="LZ650" s="29"/>
      <c r="MA650" s="29"/>
      <c r="MB650" s="29"/>
      <c r="MC650" s="29"/>
      <c r="MD650" s="29"/>
      <c r="ME650" s="29"/>
      <c r="MF650" s="29"/>
      <c r="MG650" s="29"/>
      <c r="MH650" s="29"/>
      <c r="MI650" s="29"/>
      <c r="MJ650" s="29"/>
      <c r="MK650" s="29"/>
      <c r="ML650" s="29"/>
      <c r="MM650" s="29"/>
      <c r="MN650" s="29"/>
      <c r="MO650" s="29"/>
      <c r="MP650" s="29"/>
      <c r="MQ650" s="29"/>
      <c r="MR650" s="29"/>
      <c r="MS650" s="29"/>
      <c r="MT650" s="29"/>
      <c r="MU650" s="29"/>
      <c r="MV650" s="29"/>
      <c r="MW650" s="29"/>
      <c r="MX650" s="29"/>
      <c r="MY650" s="29"/>
      <c r="MZ650" s="29"/>
      <c r="NA650" s="29"/>
      <c r="NB650" s="29"/>
      <c r="NC650" s="29"/>
      <c r="ND650" s="29"/>
      <c r="NE650" s="29"/>
      <c r="NF650" s="29"/>
      <c r="NG650" s="29"/>
      <c r="NH650" s="29"/>
      <c r="NI650" s="29"/>
      <c r="NJ650" s="29"/>
      <c r="NK650" s="29"/>
      <c r="NL650" s="29"/>
      <c r="NM650" s="29"/>
      <c r="NN650" s="29"/>
      <c r="NO650" s="29"/>
      <c r="NP650" s="29"/>
      <c r="NQ650" s="29"/>
      <c r="NR650" s="29"/>
      <c r="NS650" s="29"/>
      <c r="NT650" s="29"/>
      <c r="NU650" s="29"/>
      <c r="NV650" s="29"/>
      <c r="NW650" s="29"/>
      <c r="NX650" s="29"/>
      <c r="NY650" s="29"/>
      <c r="NZ650" s="29"/>
      <c r="OA650" s="29"/>
      <c r="OB650" s="29"/>
      <c r="OC650" s="29"/>
      <c r="OD650" s="29"/>
      <c r="OE650" s="29"/>
      <c r="OF650" s="29"/>
      <c r="OG650" s="29"/>
      <c r="OH650" s="29"/>
      <c r="OI650" s="29"/>
      <c r="OJ650" s="29"/>
      <c r="OK650" s="29"/>
      <c r="OL650" s="29"/>
      <c r="OM650" s="29"/>
      <c r="ON650" s="29"/>
      <c r="OO650" s="29"/>
      <c r="OP650" s="29"/>
      <c r="OQ650" s="29"/>
      <c r="OR650" s="29"/>
      <c r="OS650" s="29"/>
      <c r="OT650" s="29"/>
      <c r="OU650" s="29"/>
      <c r="OV650" s="29"/>
      <c r="OW650" s="29"/>
      <c r="OX650" s="29"/>
      <c r="OY650" s="29"/>
      <c r="OZ650" s="29"/>
      <c r="PA650" s="29"/>
      <c r="PB650" s="29"/>
      <c r="PC650" s="29"/>
      <c r="PD650" s="29"/>
      <c r="PE650" s="29"/>
      <c r="PF650" s="29"/>
      <c r="PG650" s="29"/>
      <c r="PH650" s="29"/>
      <c r="PI650" s="29"/>
      <c r="PJ650" s="29"/>
      <c r="PK650" s="29"/>
      <c r="PL650" s="29"/>
      <c r="PM650" s="29"/>
      <c r="PN650" s="29"/>
      <c r="PO650" s="29"/>
      <c r="PP650" s="29"/>
      <c r="PQ650" s="29"/>
      <c r="PR650" s="29"/>
      <c r="PS650" s="29"/>
      <c r="PT650" s="29"/>
      <c r="PU650" s="29"/>
      <c r="PV650" s="29"/>
      <c r="PW650" s="29"/>
      <c r="PX650" s="29"/>
      <c r="PY650" s="29"/>
      <c r="PZ650" s="29"/>
      <c r="QA650" s="29"/>
      <c r="QB650" s="29"/>
      <c r="QC650" s="29"/>
      <c r="QD650" s="29"/>
      <c r="QE650" s="29"/>
      <c r="QF650" s="29"/>
      <c r="QG650" s="29"/>
      <c r="QH650" s="29"/>
      <c r="QI650" s="29"/>
      <c r="QJ650" s="29"/>
      <c r="QK650" s="29"/>
      <c r="QL650" s="29"/>
      <c r="QM650" s="29"/>
      <c r="QN650" s="29"/>
      <c r="QO650" s="29"/>
      <c r="QP650" s="29"/>
      <c r="QQ650" s="29"/>
      <c r="QR650" s="29"/>
      <c r="QS650" s="29"/>
      <c r="QT650" s="29"/>
      <c r="QU650" s="29"/>
      <c r="QV650" s="29"/>
      <c r="QW650" s="29"/>
      <c r="QX650" s="29"/>
      <c r="QY650" s="29"/>
      <c r="QZ650" s="29"/>
      <c r="RA650" s="29"/>
      <c r="RB650" s="29"/>
      <c r="RC650" s="29"/>
      <c r="RD650" s="29"/>
      <c r="RE650" s="29"/>
      <c r="RF650" s="29"/>
      <c r="RG650" s="29"/>
      <c r="RH650" s="29"/>
      <c r="RI650" s="29"/>
      <c r="RJ650" s="29"/>
      <c r="RK650" s="29"/>
      <c r="RL650" s="29"/>
      <c r="RM650" s="29"/>
      <c r="RN650" s="29"/>
      <c r="RO650" s="29"/>
      <c r="RP650" s="29"/>
      <c r="RQ650" s="29"/>
      <c r="RR650" s="29"/>
      <c r="RS650" s="29"/>
      <c r="RT650" s="29"/>
      <c r="RU650" s="29"/>
      <c r="RV650" s="29"/>
      <c r="RW650" s="29"/>
      <c r="RX650" s="29"/>
      <c r="RY650" s="29"/>
      <c r="RZ650" s="29"/>
      <c r="SA650" s="29"/>
      <c r="SB650" s="29"/>
      <c r="SC650" s="29"/>
      <c r="SD650" s="29"/>
      <c r="SE650" s="29"/>
      <c r="SF650" s="29"/>
      <c r="SG650" s="29"/>
      <c r="SH650" s="29"/>
      <c r="SI650" s="29"/>
      <c r="SJ650" s="29"/>
      <c r="SK650" s="29"/>
      <c r="SL650" s="29"/>
      <c r="SM650" s="29"/>
      <c r="SN650" s="29"/>
      <c r="SO650" s="29"/>
      <c r="SP650" s="29"/>
      <c r="SQ650" s="29"/>
      <c r="SR650" s="29"/>
      <c r="SS650" s="29"/>
      <c r="ST650" s="29"/>
      <c r="SU650" s="29"/>
      <c r="SV650" s="29"/>
      <c r="SW650" s="29"/>
      <c r="SX650" s="29"/>
      <c r="SY650" s="29"/>
      <c r="SZ650" s="29"/>
      <c r="TA650" s="29"/>
      <c r="TB650" s="29"/>
      <c r="TC650" s="29"/>
      <c r="TD650" s="29"/>
      <c r="TE650" s="29"/>
      <c r="TF650" s="29"/>
      <c r="TG650" s="29"/>
      <c r="TH650" s="29"/>
      <c r="TI650" s="29"/>
      <c r="TJ650" s="29"/>
      <c r="TK650" s="29"/>
      <c r="TL650" s="29"/>
      <c r="TM650" s="29"/>
      <c r="TN650" s="29"/>
      <c r="TO650" s="29"/>
      <c r="TP650" s="29"/>
      <c r="TQ650" s="29"/>
      <c r="TR650" s="29"/>
      <c r="TS650" s="29"/>
      <c r="TT650" s="29"/>
      <c r="TU650" s="29"/>
      <c r="TV650" s="29"/>
      <c r="TW650" s="29"/>
      <c r="TX650" s="29"/>
      <c r="TY650" s="29"/>
      <c r="TZ650" s="29"/>
      <c r="UA650" s="29"/>
      <c r="UB650" s="29"/>
      <c r="UC650" s="29"/>
      <c r="UD650" s="29"/>
      <c r="UE650" s="29"/>
      <c r="UF650" s="29"/>
      <c r="UG650" s="29"/>
      <c r="UH650" s="29"/>
      <c r="UI650" s="29"/>
      <c r="UJ650" s="29"/>
      <c r="UK650" s="29"/>
      <c r="UL650" s="29"/>
      <c r="UM650" s="29"/>
      <c r="UN650" s="29"/>
      <c r="UO650" s="29"/>
      <c r="UP650" s="29"/>
      <c r="UQ650" s="29"/>
      <c r="UR650" s="29"/>
      <c r="US650" s="29"/>
      <c r="UT650" s="29"/>
      <c r="UU650" s="29"/>
      <c r="UV650" s="29"/>
      <c r="UW650" s="29"/>
      <c r="UX650" s="29"/>
      <c r="UY650" s="29"/>
      <c r="UZ650" s="29"/>
      <c r="VA650" s="29"/>
      <c r="VB650" s="29"/>
      <c r="VC650" s="29"/>
      <c r="VD650" s="29"/>
      <c r="VE650" s="29"/>
      <c r="VF650" s="29"/>
      <c r="VG650" s="29"/>
      <c r="VH650" s="29"/>
      <c r="VI650" s="29"/>
      <c r="VJ650" s="29"/>
      <c r="VK650" s="29"/>
      <c r="VL650" s="29"/>
      <c r="VM650" s="29"/>
      <c r="VN650" s="29"/>
      <c r="VO650" s="29"/>
      <c r="VP650" s="29"/>
      <c r="VQ650" s="29"/>
      <c r="VR650" s="29"/>
      <c r="VS650" s="29"/>
      <c r="VT650" s="29"/>
      <c r="VU650" s="29"/>
      <c r="VV650" s="29"/>
      <c r="VW650" s="29"/>
      <c r="VX650" s="29"/>
      <c r="VY650" s="29"/>
      <c r="VZ650" s="29"/>
      <c r="WA650" s="29"/>
      <c r="WB650" s="29"/>
    </row>
    <row r="715" spans="1:600" x14ac:dyDescent="0.3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29"/>
      <c r="AB715" s="29"/>
      <c r="AC715" s="29"/>
      <c r="AD715" s="29"/>
      <c r="AE715" s="29"/>
      <c r="AF715" s="29"/>
      <c r="AG715" s="29"/>
      <c r="AH715" s="29"/>
      <c r="AI715" s="29"/>
      <c r="AJ715" s="29"/>
      <c r="AK715" s="29"/>
      <c r="AL715" s="29"/>
      <c r="AM715" s="29"/>
      <c r="AN715" s="29"/>
      <c r="AO715" s="29"/>
      <c r="AP715" s="29"/>
      <c r="AQ715" s="29"/>
      <c r="AR715" s="29"/>
      <c r="AS715" s="29"/>
      <c r="AT715" s="29"/>
      <c r="AU715" s="29"/>
      <c r="AV715" s="29"/>
      <c r="AW715" s="29"/>
      <c r="AX715" s="29"/>
      <c r="AY715" s="29"/>
      <c r="AZ715" s="29"/>
      <c r="BA715" s="29"/>
      <c r="BB715" s="29"/>
      <c r="BC715" s="29"/>
      <c r="BD715" s="29"/>
      <c r="BE715" s="29"/>
      <c r="BF715" s="29"/>
      <c r="BG715" s="29"/>
      <c r="BH715" s="29"/>
      <c r="BI715" s="29"/>
      <c r="BJ715" s="29"/>
      <c r="BK715" s="29"/>
      <c r="BL715" s="29"/>
      <c r="BM715" s="29"/>
      <c r="BN715" s="29"/>
      <c r="BO715" s="29"/>
      <c r="BP715" s="29"/>
      <c r="BQ715" s="29"/>
      <c r="BR715" s="29"/>
      <c r="BS715" s="29"/>
      <c r="BT715" s="29"/>
      <c r="BU715" s="29"/>
      <c r="BV715" s="29"/>
      <c r="BW715" s="29"/>
      <c r="BX715" s="29"/>
      <c r="BY715" s="29"/>
      <c r="BZ715" s="29"/>
      <c r="CA715" s="29"/>
      <c r="CB715" s="29"/>
      <c r="CC715" s="29"/>
      <c r="CD715" s="29"/>
      <c r="CE715" s="29"/>
      <c r="CF715" s="29"/>
      <c r="CG715" s="29"/>
      <c r="CH715" s="29"/>
      <c r="CI715" s="29"/>
      <c r="CJ715" s="29"/>
      <c r="CK715" s="29"/>
      <c r="CL715" s="29"/>
      <c r="CM715" s="29"/>
      <c r="CN715" s="29"/>
      <c r="CO715" s="29"/>
      <c r="CP715" s="29"/>
      <c r="CQ715" s="29"/>
      <c r="CR715" s="29"/>
      <c r="CS715" s="29"/>
      <c r="CT715" s="29"/>
      <c r="CU715" s="29"/>
      <c r="CV715" s="29"/>
      <c r="CW715" s="29"/>
      <c r="CX715" s="29"/>
      <c r="CY715" s="29"/>
      <c r="CZ715" s="29"/>
      <c r="DA715" s="29"/>
      <c r="DB715" s="29"/>
      <c r="DC715" s="29"/>
      <c r="DD715" s="29"/>
      <c r="DE715" s="29"/>
      <c r="DF715" s="29"/>
      <c r="DG715" s="29"/>
      <c r="DH715" s="29"/>
      <c r="DI715" s="29"/>
      <c r="DJ715" s="29"/>
      <c r="DK715" s="29"/>
      <c r="DL715" s="29"/>
      <c r="DM715" s="29"/>
      <c r="DN715" s="29"/>
      <c r="DO715" s="29"/>
      <c r="DP715" s="29"/>
      <c r="DQ715" s="29"/>
      <c r="DR715" s="29"/>
      <c r="DS715" s="29"/>
      <c r="DT715" s="29"/>
      <c r="DU715" s="29"/>
      <c r="DV715" s="29"/>
      <c r="DW715" s="29"/>
      <c r="DX715" s="29"/>
      <c r="DY715" s="29"/>
      <c r="DZ715" s="29"/>
      <c r="EA715" s="29"/>
      <c r="EB715" s="29"/>
      <c r="EC715" s="29"/>
      <c r="ED715" s="29"/>
      <c r="EE715" s="29"/>
      <c r="EF715" s="29"/>
      <c r="EG715" s="29"/>
      <c r="EH715" s="29"/>
      <c r="EI715" s="29"/>
      <c r="EJ715" s="29"/>
      <c r="EK715" s="29"/>
      <c r="EL715" s="29"/>
      <c r="EM715" s="29"/>
      <c r="EN715" s="29"/>
      <c r="EO715" s="29"/>
      <c r="EP715" s="29"/>
      <c r="EQ715" s="29"/>
      <c r="ER715" s="29"/>
      <c r="ES715" s="29"/>
      <c r="ET715" s="29"/>
      <c r="EU715" s="29"/>
      <c r="EV715" s="29"/>
      <c r="EW715" s="29"/>
      <c r="EX715" s="29"/>
      <c r="EY715" s="29"/>
      <c r="EZ715" s="29"/>
      <c r="FA715" s="29"/>
      <c r="FB715" s="29"/>
      <c r="FC715" s="29"/>
      <c r="FD715" s="29"/>
      <c r="FE715" s="29"/>
      <c r="FF715" s="29"/>
      <c r="FG715" s="29"/>
      <c r="FH715" s="29"/>
      <c r="FI715" s="29"/>
      <c r="FJ715" s="29"/>
      <c r="FK715" s="29"/>
      <c r="FL715" s="29"/>
      <c r="FM715" s="29"/>
      <c r="FN715" s="29"/>
      <c r="FO715" s="29"/>
      <c r="FP715" s="29"/>
      <c r="FQ715" s="29"/>
      <c r="FR715" s="29"/>
      <c r="FS715" s="29"/>
      <c r="FT715" s="29"/>
      <c r="FU715" s="29"/>
      <c r="FV715" s="29"/>
      <c r="FW715" s="29"/>
      <c r="FX715" s="29"/>
      <c r="FY715" s="29"/>
      <c r="FZ715" s="29"/>
      <c r="GA715" s="29"/>
      <c r="GB715" s="29"/>
      <c r="GC715" s="29"/>
      <c r="GD715" s="29"/>
      <c r="GE715" s="29"/>
      <c r="GF715" s="29"/>
      <c r="GG715" s="29"/>
      <c r="GH715" s="29"/>
      <c r="GI715" s="29"/>
      <c r="GJ715" s="29"/>
      <c r="GK715" s="29"/>
      <c r="GL715" s="29"/>
      <c r="GM715" s="29"/>
      <c r="GN715" s="29"/>
      <c r="GO715" s="29"/>
      <c r="GP715" s="29"/>
      <c r="GQ715" s="29"/>
      <c r="GR715" s="29"/>
      <c r="GS715" s="29"/>
      <c r="GT715" s="29"/>
      <c r="GU715" s="29"/>
      <c r="GV715" s="29"/>
      <c r="GW715" s="29"/>
      <c r="GX715" s="29"/>
      <c r="GY715" s="29"/>
      <c r="GZ715" s="29"/>
      <c r="HA715" s="29"/>
      <c r="HB715" s="29"/>
      <c r="HC715" s="29"/>
      <c r="HD715" s="29"/>
      <c r="HE715" s="29"/>
      <c r="HF715" s="29"/>
      <c r="HG715" s="29"/>
      <c r="HH715" s="29"/>
      <c r="HI715" s="29"/>
      <c r="HJ715" s="29"/>
      <c r="HK715" s="29"/>
      <c r="HL715" s="29"/>
      <c r="HM715" s="29"/>
      <c r="HN715" s="29"/>
      <c r="HO715" s="29"/>
      <c r="HP715" s="29"/>
      <c r="HQ715" s="29"/>
      <c r="HR715" s="29"/>
      <c r="HS715" s="29"/>
      <c r="HT715" s="29"/>
      <c r="HU715" s="29"/>
      <c r="HV715" s="29"/>
      <c r="HW715" s="29"/>
      <c r="HX715" s="29"/>
      <c r="HY715" s="29"/>
      <c r="HZ715" s="29"/>
      <c r="IA715" s="29"/>
      <c r="IB715" s="29"/>
      <c r="IC715" s="29"/>
      <c r="ID715" s="29"/>
      <c r="IE715" s="29"/>
      <c r="IF715" s="29"/>
      <c r="IG715" s="29"/>
      <c r="IH715" s="29"/>
      <c r="II715" s="29"/>
      <c r="IJ715" s="29"/>
      <c r="IK715" s="29"/>
      <c r="IL715" s="29"/>
      <c r="IM715" s="29"/>
      <c r="IN715" s="29"/>
      <c r="IO715" s="29"/>
      <c r="IP715" s="29"/>
      <c r="IQ715" s="29"/>
      <c r="IR715" s="29"/>
      <c r="IS715" s="29"/>
      <c r="IT715" s="29"/>
      <c r="IU715" s="29"/>
      <c r="IV715" s="29"/>
      <c r="IW715" s="29"/>
      <c r="IX715" s="29"/>
      <c r="IY715" s="29"/>
      <c r="IZ715" s="29"/>
      <c r="JA715" s="29"/>
      <c r="JB715" s="29"/>
      <c r="JC715" s="29"/>
      <c r="JD715" s="29"/>
      <c r="JE715" s="29"/>
      <c r="JF715" s="29"/>
      <c r="JG715" s="29"/>
      <c r="JH715" s="29"/>
      <c r="JI715" s="29"/>
      <c r="JJ715" s="29"/>
      <c r="JK715" s="29"/>
      <c r="JL715" s="29"/>
      <c r="JM715" s="29"/>
      <c r="JN715" s="29"/>
      <c r="JO715" s="29"/>
      <c r="JP715" s="29"/>
      <c r="JQ715" s="29"/>
      <c r="JR715" s="29"/>
      <c r="JS715" s="29"/>
      <c r="JT715" s="29"/>
      <c r="JU715" s="29"/>
      <c r="JV715" s="29"/>
      <c r="JW715" s="29"/>
      <c r="JX715" s="29"/>
      <c r="JY715" s="29"/>
      <c r="JZ715" s="29"/>
      <c r="KA715" s="29"/>
      <c r="KB715" s="29"/>
      <c r="KC715" s="29"/>
      <c r="KD715" s="29"/>
      <c r="KE715" s="29"/>
      <c r="KF715" s="29"/>
      <c r="KG715" s="29"/>
      <c r="KH715" s="29"/>
      <c r="KI715" s="29"/>
      <c r="KJ715" s="29"/>
      <c r="KK715" s="29"/>
      <c r="KL715" s="29"/>
      <c r="KM715" s="29"/>
      <c r="KN715" s="29"/>
      <c r="KO715" s="29"/>
      <c r="KP715" s="29"/>
      <c r="KQ715" s="29"/>
      <c r="KR715" s="29"/>
      <c r="KS715" s="29"/>
      <c r="KT715" s="29"/>
      <c r="KU715" s="29"/>
      <c r="KV715" s="29"/>
      <c r="KW715" s="29"/>
      <c r="KX715" s="29"/>
      <c r="KY715" s="29"/>
      <c r="KZ715" s="29"/>
      <c r="LA715" s="29"/>
      <c r="LB715" s="29"/>
      <c r="LC715" s="29"/>
      <c r="LD715" s="29"/>
      <c r="LE715" s="29"/>
      <c r="LF715" s="29"/>
      <c r="LG715" s="29"/>
      <c r="LH715" s="29"/>
      <c r="LI715" s="29"/>
      <c r="LJ715" s="29"/>
      <c r="LK715" s="29"/>
      <c r="LL715" s="29"/>
      <c r="LM715" s="29"/>
      <c r="LN715" s="29"/>
      <c r="LO715" s="29"/>
      <c r="LP715" s="29"/>
      <c r="LQ715" s="29"/>
      <c r="LR715" s="29"/>
      <c r="LS715" s="29"/>
      <c r="LT715" s="29"/>
      <c r="LU715" s="29"/>
      <c r="LV715" s="29"/>
      <c r="LW715" s="29"/>
      <c r="LX715" s="29"/>
      <c r="LY715" s="29"/>
      <c r="LZ715" s="29"/>
      <c r="MA715" s="29"/>
      <c r="MB715" s="29"/>
      <c r="MC715" s="29"/>
      <c r="MD715" s="29"/>
      <c r="ME715" s="29"/>
      <c r="MF715" s="29"/>
      <c r="MG715" s="29"/>
      <c r="MH715" s="29"/>
      <c r="MI715" s="29"/>
      <c r="MJ715" s="29"/>
      <c r="MK715" s="29"/>
      <c r="ML715" s="29"/>
      <c r="MM715" s="29"/>
      <c r="MN715" s="29"/>
      <c r="MO715" s="29"/>
      <c r="MP715" s="29"/>
      <c r="MQ715" s="29"/>
      <c r="MR715" s="29"/>
      <c r="MS715" s="29"/>
      <c r="MT715" s="29"/>
      <c r="MU715" s="29"/>
      <c r="MV715" s="29"/>
      <c r="MW715" s="29"/>
      <c r="MX715" s="29"/>
      <c r="MY715" s="29"/>
      <c r="MZ715" s="29"/>
      <c r="NA715" s="29"/>
      <c r="NB715" s="29"/>
      <c r="NC715" s="29"/>
      <c r="ND715" s="29"/>
      <c r="NE715" s="29"/>
      <c r="NF715" s="29"/>
      <c r="NG715" s="29"/>
      <c r="NH715" s="29"/>
      <c r="NI715" s="29"/>
      <c r="NJ715" s="29"/>
      <c r="NK715" s="29"/>
      <c r="NL715" s="29"/>
      <c r="NM715" s="29"/>
      <c r="NN715" s="29"/>
      <c r="NO715" s="29"/>
      <c r="NP715" s="29"/>
      <c r="NQ715" s="29"/>
      <c r="NR715" s="29"/>
      <c r="NS715" s="29"/>
      <c r="NT715" s="29"/>
      <c r="NU715" s="29"/>
      <c r="NV715" s="29"/>
      <c r="NW715" s="29"/>
      <c r="NX715" s="29"/>
      <c r="NY715" s="29"/>
      <c r="NZ715" s="29"/>
      <c r="OA715" s="29"/>
      <c r="OB715" s="29"/>
      <c r="OC715" s="29"/>
      <c r="OD715" s="29"/>
      <c r="OE715" s="29"/>
      <c r="OF715" s="29"/>
      <c r="OG715" s="29"/>
      <c r="OH715" s="29"/>
      <c r="OI715" s="29"/>
      <c r="OJ715" s="29"/>
      <c r="OK715" s="29"/>
      <c r="OL715" s="29"/>
      <c r="OM715" s="29"/>
      <c r="ON715" s="29"/>
      <c r="OO715" s="29"/>
      <c r="OP715" s="29"/>
      <c r="OQ715" s="29"/>
      <c r="OR715" s="29"/>
      <c r="OS715" s="29"/>
      <c r="OT715" s="29"/>
      <c r="OU715" s="29"/>
      <c r="OV715" s="29"/>
      <c r="OW715" s="29"/>
      <c r="OX715" s="29"/>
      <c r="OY715" s="29"/>
      <c r="OZ715" s="29"/>
      <c r="PA715" s="29"/>
      <c r="PB715" s="29"/>
      <c r="PC715" s="29"/>
      <c r="PD715" s="29"/>
      <c r="PE715" s="29"/>
      <c r="PF715" s="29"/>
      <c r="PG715" s="29"/>
      <c r="PH715" s="29"/>
      <c r="PI715" s="29"/>
      <c r="PJ715" s="29"/>
      <c r="PK715" s="29"/>
      <c r="PL715" s="29"/>
      <c r="PM715" s="29"/>
      <c r="PN715" s="29"/>
      <c r="PO715" s="29"/>
      <c r="PP715" s="29"/>
      <c r="PQ715" s="29"/>
      <c r="PR715" s="29"/>
      <c r="PS715" s="29"/>
      <c r="PT715" s="29"/>
      <c r="PU715" s="29"/>
      <c r="PV715" s="29"/>
      <c r="PW715" s="29"/>
      <c r="PX715" s="29"/>
      <c r="PY715" s="29"/>
      <c r="PZ715" s="29"/>
      <c r="QA715" s="29"/>
      <c r="QB715" s="29"/>
      <c r="QC715" s="29"/>
      <c r="QD715" s="29"/>
      <c r="QE715" s="29"/>
      <c r="QF715" s="29"/>
      <c r="QG715" s="29"/>
      <c r="QH715" s="29"/>
      <c r="QI715" s="29"/>
      <c r="QJ715" s="29"/>
      <c r="QK715" s="29"/>
      <c r="QL715" s="29"/>
      <c r="QM715" s="29"/>
      <c r="QN715" s="29"/>
      <c r="QO715" s="29"/>
      <c r="QP715" s="29"/>
      <c r="QQ715" s="29"/>
      <c r="QR715" s="29"/>
      <c r="QS715" s="29"/>
      <c r="QT715" s="29"/>
      <c r="QU715" s="29"/>
      <c r="QV715" s="29"/>
      <c r="QW715" s="29"/>
      <c r="QX715" s="29"/>
      <c r="QY715" s="29"/>
      <c r="QZ715" s="29"/>
      <c r="RA715" s="29"/>
      <c r="RB715" s="29"/>
      <c r="RC715" s="29"/>
      <c r="RD715" s="29"/>
      <c r="RE715" s="29"/>
      <c r="RF715" s="29"/>
      <c r="RG715" s="29"/>
      <c r="RH715" s="29"/>
      <c r="RI715" s="29"/>
      <c r="RJ715" s="29"/>
      <c r="RK715" s="29"/>
      <c r="RL715" s="29"/>
      <c r="RM715" s="29"/>
      <c r="RN715" s="29"/>
      <c r="RO715" s="29"/>
      <c r="RP715" s="29"/>
      <c r="RQ715" s="29"/>
      <c r="RR715" s="29"/>
      <c r="RS715" s="29"/>
      <c r="RT715" s="29"/>
      <c r="RU715" s="29"/>
      <c r="RV715" s="29"/>
      <c r="RW715" s="29"/>
      <c r="RX715" s="29"/>
      <c r="RY715" s="29"/>
      <c r="RZ715" s="29"/>
      <c r="SA715" s="29"/>
      <c r="SB715" s="29"/>
      <c r="SC715" s="29"/>
      <c r="SD715" s="29"/>
      <c r="SE715" s="29"/>
      <c r="SF715" s="29"/>
      <c r="SG715" s="29"/>
      <c r="SH715" s="29"/>
      <c r="SI715" s="29"/>
      <c r="SJ715" s="29"/>
      <c r="SK715" s="29"/>
      <c r="SL715" s="29"/>
      <c r="SM715" s="29"/>
      <c r="SN715" s="29"/>
      <c r="SO715" s="29"/>
      <c r="SP715" s="29"/>
      <c r="SQ715" s="29"/>
      <c r="SR715" s="29"/>
      <c r="SS715" s="29"/>
      <c r="ST715" s="29"/>
      <c r="SU715" s="29"/>
      <c r="SV715" s="29"/>
      <c r="SW715" s="29"/>
      <c r="SX715" s="29"/>
      <c r="SY715" s="29"/>
      <c r="SZ715" s="29"/>
      <c r="TA715" s="29"/>
      <c r="TB715" s="29"/>
      <c r="TC715" s="29"/>
      <c r="TD715" s="29"/>
      <c r="TE715" s="29"/>
      <c r="TF715" s="29"/>
      <c r="TG715" s="29"/>
      <c r="TH715" s="29"/>
      <c r="TI715" s="29"/>
      <c r="TJ715" s="29"/>
      <c r="TK715" s="29"/>
      <c r="TL715" s="29"/>
      <c r="TM715" s="29"/>
      <c r="TN715" s="29"/>
      <c r="TO715" s="29"/>
      <c r="TP715" s="29"/>
      <c r="TQ715" s="29"/>
      <c r="TR715" s="29"/>
      <c r="TS715" s="29"/>
      <c r="TT715" s="29"/>
      <c r="TU715" s="29"/>
      <c r="TV715" s="29"/>
      <c r="TW715" s="29"/>
      <c r="TX715" s="29"/>
      <c r="TY715" s="29"/>
      <c r="TZ715" s="29"/>
      <c r="UA715" s="29"/>
      <c r="UB715" s="29"/>
      <c r="UC715" s="29"/>
      <c r="UD715" s="29"/>
      <c r="UE715" s="29"/>
      <c r="UF715" s="29"/>
      <c r="UG715" s="29"/>
      <c r="UH715" s="29"/>
      <c r="UI715" s="29"/>
      <c r="UJ715" s="29"/>
      <c r="UK715" s="29"/>
      <c r="UL715" s="29"/>
      <c r="UM715" s="29"/>
      <c r="UN715" s="29"/>
      <c r="UO715" s="29"/>
      <c r="UP715" s="29"/>
      <c r="UQ715" s="29"/>
      <c r="UR715" s="29"/>
      <c r="US715" s="29"/>
      <c r="UT715" s="29"/>
      <c r="UU715" s="29"/>
      <c r="UV715" s="29"/>
      <c r="UW715" s="29"/>
      <c r="UX715" s="29"/>
      <c r="UY715" s="29"/>
      <c r="UZ715" s="29"/>
      <c r="VA715" s="29"/>
      <c r="VB715" s="29"/>
      <c r="VC715" s="29"/>
      <c r="VD715" s="29"/>
      <c r="VE715" s="29"/>
      <c r="VF715" s="29"/>
      <c r="VG715" s="29"/>
      <c r="VH715" s="29"/>
      <c r="VI715" s="29"/>
      <c r="VJ715" s="29"/>
      <c r="VK715" s="29"/>
      <c r="VL715" s="29"/>
      <c r="VM715" s="29"/>
      <c r="VN715" s="29"/>
      <c r="VO715" s="29"/>
      <c r="VP715" s="29"/>
      <c r="VQ715" s="29"/>
      <c r="VR715" s="29"/>
      <c r="VS715" s="29"/>
      <c r="VT715" s="29"/>
      <c r="VU715" s="29"/>
      <c r="VV715" s="29"/>
      <c r="VW715" s="29"/>
      <c r="VX715" s="29"/>
      <c r="VY715" s="29"/>
      <c r="VZ715" s="29"/>
      <c r="WA715" s="29"/>
      <c r="WB715" s="29"/>
    </row>
    <row r="780" spans="1:600" x14ac:dyDescent="0.3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29"/>
      <c r="AB780" s="29"/>
      <c r="AC780" s="29"/>
      <c r="AD780" s="29"/>
      <c r="AE780" s="29"/>
      <c r="AF780" s="29"/>
      <c r="AG780" s="29"/>
      <c r="AH780" s="29"/>
      <c r="AI780" s="29"/>
      <c r="AJ780" s="29"/>
      <c r="AK780" s="29"/>
      <c r="AL780" s="29"/>
      <c r="AM780" s="29"/>
      <c r="AN780" s="29"/>
      <c r="AO780" s="29"/>
      <c r="AP780" s="29"/>
      <c r="AQ780" s="29"/>
      <c r="AR780" s="29"/>
      <c r="AS780" s="29"/>
      <c r="AT780" s="29"/>
      <c r="AU780" s="29"/>
      <c r="AV780" s="29"/>
      <c r="AW780" s="29"/>
      <c r="AX780" s="29"/>
      <c r="AY780" s="29"/>
      <c r="AZ780" s="29"/>
      <c r="BA780" s="29"/>
      <c r="BB780" s="29"/>
      <c r="BC780" s="29"/>
      <c r="BD780" s="29"/>
      <c r="BE780" s="29"/>
      <c r="BF780" s="29"/>
      <c r="BG780" s="29"/>
      <c r="BH780" s="29"/>
      <c r="BI780" s="29"/>
      <c r="BJ780" s="29"/>
      <c r="BK780" s="29"/>
      <c r="BL780" s="29"/>
      <c r="BM780" s="29"/>
      <c r="BN780" s="29"/>
      <c r="BO780" s="29"/>
      <c r="BP780" s="29"/>
      <c r="BQ780" s="29"/>
      <c r="BR780" s="29"/>
      <c r="BS780" s="29"/>
      <c r="BT780" s="29"/>
      <c r="BU780" s="29"/>
      <c r="BV780" s="29"/>
      <c r="BW780" s="29"/>
      <c r="BX780" s="29"/>
      <c r="BY780" s="29"/>
      <c r="BZ780" s="29"/>
      <c r="CA780" s="29"/>
      <c r="CB780" s="29"/>
      <c r="CC780" s="29"/>
      <c r="CD780" s="29"/>
      <c r="CE780" s="29"/>
      <c r="CF780" s="29"/>
      <c r="CG780" s="29"/>
      <c r="CH780" s="29"/>
      <c r="CI780" s="29"/>
      <c r="CJ780" s="29"/>
      <c r="CK780" s="29"/>
      <c r="CL780" s="29"/>
      <c r="CM780" s="29"/>
      <c r="CN780" s="29"/>
      <c r="CO780" s="29"/>
      <c r="CP780" s="29"/>
      <c r="CQ780" s="29"/>
      <c r="CR780" s="29"/>
      <c r="CS780" s="29"/>
      <c r="CT780" s="29"/>
      <c r="CU780" s="29"/>
      <c r="CV780" s="29"/>
      <c r="CW780" s="29"/>
      <c r="CX780" s="29"/>
      <c r="CY780" s="29"/>
      <c r="CZ780" s="29"/>
      <c r="DA780" s="29"/>
      <c r="DB780" s="29"/>
      <c r="DC780" s="29"/>
      <c r="DD780" s="29"/>
      <c r="DE780" s="29"/>
      <c r="DF780" s="29"/>
      <c r="DG780" s="29"/>
      <c r="DH780" s="29"/>
      <c r="DI780" s="29"/>
      <c r="DJ780" s="29"/>
      <c r="DK780" s="29"/>
      <c r="DL780" s="29"/>
      <c r="DM780" s="29"/>
      <c r="DN780" s="29"/>
      <c r="DO780" s="29"/>
      <c r="DP780" s="29"/>
      <c r="DQ780" s="29"/>
      <c r="DR780" s="29"/>
      <c r="DS780" s="29"/>
      <c r="DT780" s="29"/>
      <c r="DU780" s="29"/>
      <c r="DV780" s="29"/>
      <c r="DW780" s="29"/>
      <c r="DX780" s="29"/>
      <c r="DY780" s="29"/>
      <c r="DZ780" s="29"/>
      <c r="EA780" s="29"/>
      <c r="EB780" s="29"/>
      <c r="EC780" s="29"/>
      <c r="ED780" s="29"/>
      <c r="EE780" s="29"/>
      <c r="EF780" s="29"/>
      <c r="EG780" s="29"/>
      <c r="EH780" s="29"/>
      <c r="EI780" s="29"/>
      <c r="EJ780" s="29"/>
      <c r="EK780" s="29"/>
      <c r="EL780" s="29"/>
      <c r="EM780" s="29"/>
      <c r="EN780" s="29"/>
      <c r="EO780" s="29"/>
      <c r="EP780" s="29"/>
      <c r="EQ780" s="29"/>
      <c r="ER780" s="29"/>
      <c r="ES780" s="29"/>
      <c r="ET780" s="29"/>
      <c r="EU780" s="29"/>
      <c r="EV780" s="29"/>
      <c r="EW780" s="29"/>
      <c r="EX780" s="29"/>
      <c r="EY780" s="29"/>
      <c r="EZ780" s="29"/>
      <c r="FA780" s="29"/>
      <c r="FB780" s="29"/>
      <c r="FC780" s="29"/>
      <c r="FD780" s="29"/>
      <c r="FE780" s="29"/>
      <c r="FF780" s="29"/>
      <c r="FG780" s="29"/>
      <c r="FH780" s="29"/>
      <c r="FI780" s="29"/>
      <c r="FJ780" s="29"/>
      <c r="FK780" s="29"/>
      <c r="FL780" s="29"/>
      <c r="FM780" s="29"/>
      <c r="FN780" s="29"/>
      <c r="FO780" s="29"/>
      <c r="FP780" s="29"/>
      <c r="FQ780" s="29"/>
      <c r="FR780" s="29"/>
      <c r="FS780" s="29"/>
      <c r="FT780" s="29"/>
      <c r="FU780" s="29"/>
      <c r="FV780" s="29"/>
      <c r="FW780" s="29"/>
      <c r="FX780" s="29"/>
      <c r="FY780" s="29"/>
      <c r="FZ780" s="29"/>
      <c r="GA780" s="29"/>
      <c r="GB780" s="29"/>
      <c r="GC780" s="29"/>
      <c r="GD780" s="29"/>
      <c r="GE780" s="29"/>
      <c r="GF780" s="29"/>
      <c r="GG780" s="29"/>
      <c r="GH780" s="29"/>
      <c r="GI780" s="29"/>
      <c r="GJ780" s="29"/>
      <c r="GK780" s="29"/>
      <c r="GL780" s="29"/>
      <c r="GM780" s="29"/>
      <c r="GN780" s="29"/>
      <c r="GO780" s="29"/>
      <c r="GP780" s="29"/>
      <c r="GQ780" s="29"/>
      <c r="GR780" s="29"/>
      <c r="GS780" s="29"/>
      <c r="GT780" s="29"/>
      <c r="GU780" s="29"/>
      <c r="GV780" s="29"/>
      <c r="GW780" s="29"/>
      <c r="GX780" s="29"/>
      <c r="GY780" s="29"/>
      <c r="GZ780" s="29"/>
      <c r="HA780" s="29"/>
      <c r="HB780" s="29"/>
      <c r="HC780" s="29"/>
      <c r="HD780" s="29"/>
      <c r="HE780" s="29"/>
      <c r="HF780" s="29"/>
      <c r="HG780" s="29"/>
      <c r="HH780" s="29"/>
      <c r="HI780" s="29"/>
      <c r="HJ780" s="29"/>
      <c r="HK780" s="29"/>
      <c r="HL780" s="29"/>
      <c r="HM780" s="29"/>
      <c r="HN780" s="29"/>
      <c r="HO780" s="29"/>
      <c r="HP780" s="29"/>
      <c r="HQ780" s="29"/>
      <c r="HR780" s="29"/>
      <c r="HS780" s="29"/>
      <c r="HT780" s="29"/>
      <c r="HU780" s="29"/>
      <c r="HV780" s="29"/>
      <c r="HW780" s="29"/>
      <c r="HX780" s="29"/>
      <c r="HY780" s="29"/>
      <c r="HZ780" s="29"/>
      <c r="IA780" s="29"/>
      <c r="IB780" s="29"/>
      <c r="IC780" s="29"/>
      <c r="ID780" s="29"/>
      <c r="IE780" s="29"/>
      <c r="IF780" s="29"/>
      <c r="IG780" s="29"/>
      <c r="IH780" s="29"/>
      <c r="II780" s="29"/>
      <c r="IJ780" s="29"/>
      <c r="IK780" s="29"/>
      <c r="IL780" s="29"/>
      <c r="IM780" s="29"/>
      <c r="IN780" s="29"/>
      <c r="IO780" s="29"/>
      <c r="IP780" s="29"/>
      <c r="IQ780" s="29"/>
      <c r="IR780" s="29"/>
      <c r="IS780" s="29"/>
      <c r="IT780" s="29"/>
      <c r="IU780" s="29"/>
      <c r="IV780" s="29"/>
      <c r="IW780" s="29"/>
      <c r="IX780" s="29"/>
      <c r="IY780" s="29"/>
      <c r="IZ780" s="29"/>
      <c r="JA780" s="29"/>
      <c r="JB780" s="29"/>
      <c r="JC780" s="29"/>
      <c r="JD780" s="29"/>
      <c r="JE780" s="29"/>
      <c r="JF780" s="29"/>
      <c r="JG780" s="29"/>
      <c r="JH780" s="29"/>
      <c r="JI780" s="29"/>
      <c r="JJ780" s="29"/>
      <c r="JK780" s="29"/>
      <c r="JL780" s="29"/>
      <c r="JM780" s="29"/>
      <c r="JN780" s="29"/>
      <c r="JO780" s="29"/>
      <c r="JP780" s="29"/>
      <c r="JQ780" s="29"/>
      <c r="JR780" s="29"/>
      <c r="JS780" s="29"/>
      <c r="JT780" s="29"/>
      <c r="JU780" s="29"/>
      <c r="JV780" s="29"/>
      <c r="JW780" s="29"/>
      <c r="JX780" s="29"/>
      <c r="JY780" s="29"/>
      <c r="JZ780" s="29"/>
      <c r="KA780" s="29"/>
      <c r="KB780" s="29"/>
      <c r="KC780" s="29"/>
      <c r="KD780" s="29"/>
      <c r="KE780" s="29"/>
      <c r="KF780" s="29"/>
      <c r="KG780" s="29"/>
      <c r="KH780" s="29"/>
      <c r="KI780" s="29"/>
      <c r="KJ780" s="29"/>
      <c r="KK780" s="29"/>
      <c r="KL780" s="29"/>
      <c r="KM780" s="29"/>
      <c r="KN780" s="29"/>
      <c r="KO780" s="29"/>
      <c r="KP780" s="29"/>
      <c r="KQ780" s="29"/>
      <c r="KR780" s="29"/>
      <c r="KS780" s="29"/>
      <c r="KT780" s="29"/>
      <c r="KU780" s="29"/>
      <c r="KV780" s="29"/>
      <c r="KW780" s="29"/>
      <c r="KX780" s="29"/>
      <c r="KY780" s="29"/>
      <c r="KZ780" s="29"/>
      <c r="LA780" s="29"/>
      <c r="LB780" s="29"/>
      <c r="LC780" s="29"/>
      <c r="LD780" s="29"/>
      <c r="LE780" s="29"/>
      <c r="LF780" s="29"/>
      <c r="LG780" s="29"/>
      <c r="LH780" s="29"/>
      <c r="LI780" s="29"/>
      <c r="LJ780" s="29"/>
      <c r="LK780" s="29"/>
      <c r="LL780" s="29"/>
      <c r="LM780" s="29"/>
      <c r="LN780" s="29"/>
      <c r="LO780" s="29"/>
      <c r="LP780" s="29"/>
      <c r="LQ780" s="29"/>
      <c r="LR780" s="29"/>
      <c r="LS780" s="29"/>
      <c r="LT780" s="29"/>
      <c r="LU780" s="29"/>
      <c r="LV780" s="29"/>
      <c r="LW780" s="29"/>
      <c r="LX780" s="29"/>
      <c r="LY780" s="29"/>
      <c r="LZ780" s="29"/>
      <c r="MA780" s="29"/>
      <c r="MB780" s="29"/>
      <c r="MC780" s="29"/>
      <c r="MD780" s="29"/>
      <c r="ME780" s="29"/>
      <c r="MF780" s="29"/>
      <c r="MG780" s="29"/>
      <c r="MH780" s="29"/>
      <c r="MI780" s="29"/>
      <c r="MJ780" s="29"/>
      <c r="MK780" s="29"/>
      <c r="ML780" s="29"/>
      <c r="MM780" s="29"/>
      <c r="MN780" s="29"/>
      <c r="MO780" s="29"/>
      <c r="MP780" s="29"/>
      <c r="MQ780" s="29"/>
      <c r="MR780" s="29"/>
      <c r="MS780" s="29"/>
      <c r="MT780" s="29"/>
      <c r="MU780" s="29"/>
      <c r="MV780" s="29"/>
      <c r="MW780" s="29"/>
      <c r="MX780" s="29"/>
      <c r="MY780" s="29"/>
      <c r="MZ780" s="29"/>
      <c r="NA780" s="29"/>
      <c r="NB780" s="29"/>
      <c r="NC780" s="29"/>
      <c r="ND780" s="29"/>
      <c r="NE780" s="29"/>
      <c r="NF780" s="29"/>
      <c r="NG780" s="29"/>
      <c r="NH780" s="29"/>
      <c r="NI780" s="29"/>
      <c r="NJ780" s="29"/>
      <c r="NK780" s="29"/>
      <c r="NL780" s="29"/>
      <c r="NM780" s="29"/>
      <c r="NN780" s="29"/>
      <c r="NO780" s="29"/>
      <c r="NP780" s="29"/>
      <c r="NQ780" s="29"/>
      <c r="NR780" s="29"/>
      <c r="NS780" s="29"/>
      <c r="NT780" s="29"/>
      <c r="NU780" s="29"/>
      <c r="NV780" s="29"/>
      <c r="NW780" s="29"/>
      <c r="NX780" s="29"/>
      <c r="NY780" s="29"/>
      <c r="NZ780" s="29"/>
      <c r="OA780" s="29"/>
      <c r="OB780" s="29"/>
      <c r="OC780" s="29"/>
      <c r="OD780" s="29"/>
      <c r="OE780" s="29"/>
      <c r="OF780" s="29"/>
      <c r="OG780" s="29"/>
      <c r="OH780" s="29"/>
      <c r="OI780" s="29"/>
      <c r="OJ780" s="29"/>
      <c r="OK780" s="29"/>
      <c r="OL780" s="29"/>
      <c r="OM780" s="29"/>
      <c r="ON780" s="29"/>
      <c r="OO780" s="29"/>
      <c r="OP780" s="29"/>
      <c r="OQ780" s="29"/>
      <c r="OR780" s="29"/>
      <c r="OS780" s="29"/>
      <c r="OT780" s="29"/>
      <c r="OU780" s="29"/>
      <c r="OV780" s="29"/>
      <c r="OW780" s="29"/>
      <c r="OX780" s="29"/>
      <c r="OY780" s="29"/>
      <c r="OZ780" s="29"/>
      <c r="PA780" s="29"/>
      <c r="PB780" s="29"/>
      <c r="PC780" s="29"/>
      <c r="PD780" s="29"/>
      <c r="PE780" s="29"/>
      <c r="PF780" s="29"/>
      <c r="PG780" s="29"/>
      <c r="PH780" s="29"/>
      <c r="PI780" s="29"/>
      <c r="PJ780" s="29"/>
      <c r="PK780" s="29"/>
      <c r="PL780" s="29"/>
      <c r="PM780" s="29"/>
      <c r="PN780" s="29"/>
      <c r="PO780" s="29"/>
      <c r="PP780" s="29"/>
      <c r="PQ780" s="29"/>
      <c r="PR780" s="29"/>
      <c r="PS780" s="29"/>
      <c r="PT780" s="29"/>
      <c r="PU780" s="29"/>
      <c r="PV780" s="29"/>
      <c r="PW780" s="29"/>
      <c r="PX780" s="29"/>
      <c r="PY780" s="29"/>
      <c r="PZ780" s="29"/>
      <c r="QA780" s="29"/>
      <c r="QB780" s="29"/>
      <c r="QC780" s="29"/>
      <c r="QD780" s="29"/>
      <c r="QE780" s="29"/>
      <c r="QF780" s="29"/>
      <c r="QG780" s="29"/>
      <c r="QH780" s="29"/>
      <c r="QI780" s="29"/>
      <c r="QJ780" s="29"/>
      <c r="QK780" s="29"/>
      <c r="QL780" s="29"/>
      <c r="QM780" s="29"/>
      <c r="QN780" s="29"/>
      <c r="QO780" s="29"/>
      <c r="QP780" s="29"/>
      <c r="QQ780" s="29"/>
      <c r="QR780" s="29"/>
      <c r="QS780" s="29"/>
      <c r="QT780" s="29"/>
      <c r="QU780" s="29"/>
      <c r="QV780" s="29"/>
      <c r="QW780" s="29"/>
      <c r="QX780" s="29"/>
      <c r="QY780" s="29"/>
      <c r="QZ780" s="29"/>
      <c r="RA780" s="29"/>
      <c r="RB780" s="29"/>
      <c r="RC780" s="29"/>
      <c r="RD780" s="29"/>
      <c r="RE780" s="29"/>
      <c r="RF780" s="29"/>
      <c r="RG780" s="29"/>
      <c r="RH780" s="29"/>
      <c r="RI780" s="29"/>
      <c r="RJ780" s="29"/>
      <c r="RK780" s="29"/>
      <c r="RL780" s="29"/>
      <c r="RM780" s="29"/>
      <c r="RN780" s="29"/>
      <c r="RO780" s="29"/>
      <c r="RP780" s="29"/>
      <c r="RQ780" s="29"/>
      <c r="RR780" s="29"/>
      <c r="RS780" s="29"/>
      <c r="RT780" s="29"/>
      <c r="RU780" s="29"/>
      <c r="RV780" s="29"/>
      <c r="RW780" s="29"/>
      <c r="RX780" s="29"/>
      <c r="RY780" s="29"/>
      <c r="RZ780" s="29"/>
      <c r="SA780" s="29"/>
      <c r="SB780" s="29"/>
      <c r="SC780" s="29"/>
      <c r="SD780" s="29"/>
      <c r="SE780" s="29"/>
      <c r="SF780" s="29"/>
      <c r="SG780" s="29"/>
      <c r="SH780" s="29"/>
      <c r="SI780" s="29"/>
      <c r="SJ780" s="29"/>
      <c r="SK780" s="29"/>
      <c r="SL780" s="29"/>
      <c r="SM780" s="29"/>
      <c r="SN780" s="29"/>
      <c r="SO780" s="29"/>
      <c r="SP780" s="29"/>
      <c r="SQ780" s="29"/>
      <c r="SR780" s="29"/>
      <c r="SS780" s="29"/>
      <c r="ST780" s="29"/>
      <c r="SU780" s="29"/>
      <c r="SV780" s="29"/>
      <c r="SW780" s="29"/>
      <c r="SX780" s="29"/>
      <c r="SY780" s="29"/>
      <c r="SZ780" s="29"/>
      <c r="TA780" s="29"/>
      <c r="TB780" s="29"/>
      <c r="TC780" s="29"/>
      <c r="TD780" s="29"/>
      <c r="TE780" s="29"/>
      <c r="TF780" s="29"/>
      <c r="TG780" s="29"/>
      <c r="TH780" s="29"/>
      <c r="TI780" s="29"/>
      <c r="TJ780" s="29"/>
      <c r="TK780" s="29"/>
      <c r="TL780" s="29"/>
      <c r="TM780" s="29"/>
      <c r="TN780" s="29"/>
      <c r="TO780" s="29"/>
      <c r="TP780" s="29"/>
      <c r="TQ780" s="29"/>
      <c r="TR780" s="29"/>
      <c r="TS780" s="29"/>
      <c r="TT780" s="29"/>
      <c r="TU780" s="29"/>
      <c r="TV780" s="29"/>
      <c r="TW780" s="29"/>
      <c r="TX780" s="29"/>
      <c r="TY780" s="29"/>
      <c r="TZ780" s="29"/>
      <c r="UA780" s="29"/>
      <c r="UB780" s="29"/>
      <c r="UC780" s="29"/>
      <c r="UD780" s="29"/>
      <c r="UE780" s="29"/>
      <c r="UF780" s="29"/>
      <c r="UG780" s="29"/>
      <c r="UH780" s="29"/>
      <c r="UI780" s="29"/>
      <c r="UJ780" s="29"/>
      <c r="UK780" s="29"/>
      <c r="UL780" s="29"/>
      <c r="UM780" s="29"/>
      <c r="UN780" s="29"/>
      <c r="UO780" s="29"/>
      <c r="UP780" s="29"/>
      <c r="UQ780" s="29"/>
      <c r="UR780" s="29"/>
      <c r="US780" s="29"/>
      <c r="UT780" s="29"/>
      <c r="UU780" s="29"/>
      <c r="UV780" s="29"/>
      <c r="UW780" s="29"/>
      <c r="UX780" s="29"/>
      <c r="UY780" s="29"/>
      <c r="UZ780" s="29"/>
      <c r="VA780" s="29"/>
      <c r="VB780" s="29"/>
      <c r="VC780" s="29"/>
      <c r="VD780" s="29"/>
      <c r="VE780" s="29"/>
      <c r="VF780" s="29"/>
      <c r="VG780" s="29"/>
      <c r="VH780" s="29"/>
      <c r="VI780" s="29"/>
      <c r="VJ780" s="29"/>
      <c r="VK780" s="29"/>
      <c r="VL780" s="29"/>
      <c r="VM780" s="29"/>
      <c r="VN780" s="29"/>
      <c r="VO780" s="29"/>
      <c r="VP780" s="29"/>
      <c r="VQ780" s="29"/>
      <c r="VR780" s="29"/>
      <c r="VS780" s="29"/>
      <c r="VT780" s="29"/>
      <c r="VU780" s="29"/>
      <c r="VV780" s="29"/>
      <c r="VW780" s="29"/>
      <c r="VX780" s="29"/>
      <c r="VY780" s="29"/>
      <c r="VZ780" s="29"/>
      <c r="WA780" s="29"/>
      <c r="WB780" s="29"/>
    </row>
    <row r="845" spans="1:600" x14ac:dyDescent="0.3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29"/>
      <c r="AB845" s="29"/>
      <c r="AC845" s="29"/>
      <c r="AD845" s="29"/>
      <c r="AE845" s="29"/>
      <c r="AF845" s="29"/>
      <c r="AG845" s="29"/>
      <c r="AH845" s="29"/>
      <c r="AI845" s="29"/>
      <c r="AJ845" s="29"/>
      <c r="AK845" s="29"/>
      <c r="AL845" s="29"/>
      <c r="AM845" s="29"/>
      <c r="AN845" s="29"/>
      <c r="AO845" s="29"/>
      <c r="AP845" s="29"/>
      <c r="AQ845" s="29"/>
      <c r="AR845" s="29"/>
      <c r="AS845" s="29"/>
      <c r="AT845" s="29"/>
      <c r="AU845" s="29"/>
      <c r="AV845" s="29"/>
      <c r="AW845" s="29"/>
      <c r="AX845" s="29"/>
      <c r="AY845" s="29"/>
      <c r="AZ845" s="29"/>
      <c r="BA845" s="29"/>
      <c r="BB845" s="29"/>
      <c r="BC845" s="29"/>
      <c r="BD845" s="29"/>
      <c r="BE845" s="29"/>
      <c r="BF845" s="29"/>
      <c r="BG845" s="29"/>
      <c r="BH845" s="29"/>
      <c r="BI845" s="29"/>
      <c r="BJ845" s="29"/>
      <c r="BK845" s="29"/>
      <c r="BL845" s="29"/>
      <c r="BM845" s="29"/>
      <c r="BN845" s="29"/>
      <c r="BO845" s="29"/>
      <c r="BP845" s="29"/>
      <c r="BQ845" s="29"/>
      <c r="BR845" s="29"/>
      <c r="BS845" s="29"/>
      <c r="BT845" s="29"/>
      <c r="BU845" s="29"/>
      <c r="BV845" s="29"/>
      <c r="BW845" s="29"/>
      <c r="BX845" s="29"/>
      <c r="BY845" s="29"/>
      <c r="BZ845" s="29"/>
      <c r="CA845" s="29"/>
      <c r="CB845" s="29"/>
      <c r="CC845" s="29"/>
      <c r="CD845" s="29"/>
      <c r="CE845" s="29"/>
      <c r="CF845" s="29"/>
      <c r="CG845" s="29"/>
      <c r="CH845" s="29"/>
      <c r="CI845" s="29"/>
      <c r="CJ845" s="29"/>
      <c r="CK845" s="29"/>
      <c r="CL845" s="29"/>
      <c r="CM845" s="29"/>
      <c r="CN845" s="29"/>
      <c r="CO845" s="29"/>
      <c r="CP845" s="29"/>
      <c r="CQ845" s="29"/>
      <c r="CR845" s="29"/>
      <c r="CS845" s="29"/>
      <c r="CT845" s="29"/>
      <c r="CU845" s="29"/>
      <c r="CV845" s="29"/>
      <c r="CW845" s="29"/>
      <c r="CX845" s="29"/>
      <c r="CY845" s="29"/>
      <c r="CZ845" s="29"/>
      <c r="DA845" s="29"/>
      <c r="DB845" s="29"/>
      <c r="DC845" s="29"/>
      <c r="DD845" s="29"/>
      <c r="DE845" s="29"/>
      <c r="DF845" s="29"/>
      <c r="DG845" s="29"/>
      <c r="DH845" s="29"/>
      <c r="DI845" s="29"/>
      <c r="DJ845" s="29"/>
      <c r="DK845" s="29"/>
      <c r="DL845" s="29"/>
      <c r="DM845" s="29"/>
      <c r="DN845" s="29"/>
      <c r="DO845" s="29"/>
      <c r="DP845" s="29"/>
      <c r="DQ845" s="29"/>
      <c r="DR845" s="29"/>
      <c r="DS845" s="29"/>
      <c r="DT845" s="29"/>
      <c r="DU845" s="29"/>
      <c r="DV845" s="29"/>
      <c r="DW845" s="29"/>
      <c r="DX845" s="29"/>
      <c r="DY845" s="29"/>
      <c r="DZ845" s="29"/>
      <c r="EA845" s="29"/>
      <c r="EB845" s="29"/>
      <c r="EC845" s="29"/>
      <c r="ED845" s="29"/>
      <c r="EE845" s="29"/>
      <c r="EF845" s="29"/>
      <c r="EG845" s="29"/>
      <c r="EH845" s="29"/>
      <c r="EI845" s="29"/>
      <c r="EJ845" s="29"/>
      <c r="EK845" s="29"/>
      <c r="EL845" s="29"/>
      <c r="EM845" s="29"/>
      <c r="EN845" s="29"/>
      <c r="EO845" s="29"/>
      <c r="EP845" s="29"/>
      <c r="EQ845" s="29"/>
      <c r="ER845" s="29"/>
      <c r="ES845" s="29"/>
      <c r="ET845" s="29"/>
      <c r="EU845" s="29"/>
      <c r="EV845" s="29"/>
      <c r="EW845" s="29"/>
      <c r="EX845" s="29"/>
      <c r="EY845" s="29"/>
      <c r="EZ845" s="29"/>
      <c r="FA845" s="29"/>
      <c r="FB845" s="29"/>
      <c r="FC845" s="29"/>
      <c r="FD845" s="29"/>
      <c r="FE845" s="29"/>
      <c r="FF845" s="29"/>
      <c r="FG845" s="29"/>
      <c r="FH845" s="29"/>
      <c r="FI845" s="29"/>
      <c r="FJ845" s="29"/>
      <c r="FK845" s="29"/>
      <c r="FL845" s="29"/>
      <c r="FM845" s="29"/>
      <c r="FN845" s="29"/>
      <c r="FO845" s="29"/>
      <c r="FP845" s="29"/>
      <c r="FQ845" s="29"/>
      <c r="FR845" s="29"/>
      <c r="FS845" s="29"/>
      <c r="FT845" s="29"/>
      <c r="FU845" s="29"/>
      <c r="FV845" s="29"/>
      <c r="FW845" s="29"/>
      <c r="FX845" s="29"/>
      <c r="FY845" s="29"/>
      <c r="FZ845" s="29"/>
      <c r="GA845" s="29"/>
      <c r="GB845" s="29"/>
      <c r="GC845" s="29"/>
      <c r="GD845" s="29"/>
      <c r="GE845" s="29"/>
      <c r="GF845" s="29"/>
      <c r="GG845" s="29"/>
      <c r="GH845" s="29"/>
      <c r="GI845" s="29"/>
      <c r="GJ845" s="29"/>
      <c r="GK845" s="29"/>
      <c r="GL845" s="29"/>
      <c r="GM845" s="29"/>
      <c r="GN845" s="29"/>
      <c r="GO845" s="29"/>
      <c r="GP845" s="29"/>
      <c r="GQ845" s="29"/>
      <c r="GR845" s="29"/>
      <c r="GS845" s="29"/>
      <c r="GT845" s="29"/>
      <c r="GU845" s="29"/>
      <c r="GV845" s="29"/>
      <c r="GW845" s="29"/>
      <c r="GX845" s="29"/>
      <c r="GY845" s="29"/>
      <c r="GZ845" s="29"/>
      <c r="HA845" s="29"/>
      <c r="HB845" s="29"/>
      <c r="HC845" s="29"/>
      <c r="HD845" s="29"/>
      <c r="HE845" s="29"/>
      <c r="HF845" s="29"/>
      <c r="HG845" s="29"/>
      <c r="HH845" s="29"/>
      <c r="HI845" s="29"/>
      <c r="HJ845" s="29"/>
      <c r="HK845" s="29"/>
      <c r="HL845" s="29"/>
      <c r="HM845" s="29"/>
      <c r="HN845" s="29"/>
      <c r="HO845" s="29"/>
      <c r="HP845" s="29"/>
      <c r="HQ845" s="29"/>
      <c r="HR845" s="29"/>
      <c r="HS845" s="29"/>
      <c r="HT845" s="29"/>
      <c r="HU845" s="29"/>
      <c r="HV845" s="29"/>
      <c r="HW845" s="29"/>
      <c r="HX845" s="29"/>
      <c r="HY845" s="29"/>
      <c r="HZ845" s="29"/>
      <c r="IA845" s="29"/>
      <c r="IB845" s="29"/>
      <c r="IC845" s="29"/>
      <c r="ID845" s="29"/>
      <c r="IE845" s="29"/>
      <c r="IF845" s="29"/>
      <c r="IG845" s="29"/>
      <c r="IH845" s="29"/>
      <c r="II845" s="29"/>
      <c r="IJ845" s="29"/>
      <c r="IK845" s="29"/>
      <c r="IL845" s="29"/>
      <c r="IM845" s="29"/>
      <c r="IN845" s="29"/>
      <c r="IO845" s="29"/>
      <c r="IP845" s="29"/>
      <c r="IQ845" s="29"/>
      <c r="IR845" s="29"/>
      <c r="IS845" s="29"/>
      <c r="IT845" s="29"/>
      <c r="IU845" s="29"/>
      <c r="IV845" s="29"/>
      <c r="IW845" s="29"/>
      <c r="IX845" s="29"/>
      <c r="IY845" s="29"/>
      <c r="IZ845" s="29"/>
      <c r="JA845" s="29"/>
      <c r="JB845" s="29"/>
      <c r="JC845" s="29"/>
      <c r="JD845" s="29"/>
      <c r="JE845" s="29"/>
      <c r="JF845" s="29"/>
      <c r="JG845" s="29"/>
      <c r="JH845" s="29"/>
      <c r="JI845" s="29"/>
      <c r="JJ845" s="29"/>
      <c r="JK845" s="29"/>
      <c r="JL845" s="29"/>
      <c r="JM845" s="29"/>
      <c r="JN845" s="29"/>
      <c r="JO845" s="29"/>
      <c r="JP845" s="29"/>
      <c r="JQ845" s="29"/>
      <c r="JR845" s="29"/>
      <c r="JS845" s="29"/>
      <c r="JT845" s="29"/>
      <c r="JU845" s="29"/>
      <c r="JV845" s="29"/>
      <c r="JW845" s="29"/>
      <c r="JX845" s="29"/>
      <c r="JY845" s="29"/>
      <c r="JZ845" s="29"/>
      <c r="KA845" s="29"/>
      <c r="KB845" s="29"/>
      <c r="KC845" s="29"/>
      <c r="KD845" s="29"/>
      <c r="KE845" s="29"/>
      <c r="KF845" s="29"/>
      <c r="KG845" s="29"/>
      <c r="KH845" s="29"/>
      <c r="KI845" s="29"/>
      <c r="KJ845" s="29"/>
      <c r="KK845" s="29"/>
      <c r="KL845" s="29"/>
      <c r="KM845" s="29"/>
      <c r="KN845" s="29"/>
      <c r="KO845" s="29"/>
      <c r="KP845" s="29"/>
      <c r="KQ845" s="29"/>
      <c r="KR845" s="29"/>
      <c r="KS845" s="29"/>
      <c r="KT845" s="29"/>
      <c r="KU845" s="29"/>
      <c r="KV845" s="29"/>
      <c r="KW845" s="29"/>
      <c r="KX845" s="29"/>
      <c r="KY845" s="29"/>
      <c r="KZ845" s="29"/>
      <c r="LA845" s="29"/>
      <c r="LB845" s="29"/>
      <c r="LC845" s="29"/>
      <c r="LD845" s="29"/>
      <c r="LE845" s="29"/>
      <c r="LF845" s="29"/>
      <c r="LG845" s="29"/>
      <c r="LH845" s="29"/>
      <c r="LI845" s="29"/>
      <c r="LJ845" s="29"/>
      <c r="LK845" s="29"/>
      <c r="LL845" s="29"/>
      <c r="LM845" s="29"/>
      <c r="LN845" s="29"/>
      <c r="LO845" s="29"/>
      <c r="LP845" s="29"/>
      <c r="LQ845" s="29"/>
      <c r="LR845" s="29"/>
      <c r="LS845" s="29"/>
      <c r="LT845" s="29"/>
      <c r="LU845" s="29"/>
      <c r="LV845" s="29"/>
      <c r="LW845" s="29"/>
      <c r="LX845" s="29"/>
      <c r="LY845" s="29"/>
      <c r="LZ845" s="29"/>
      <c r="MA845" s="29"/>
      <c r="MB845" s="29"/>
      <c r="MC845" s="29"/>
      <c r="MD845" s="29"/>
      <c r="ME845" s="29"/>
      <c r="MF845" s="29"/>
      <c r="MG845" s="29"/>
      <c r="MH845" s="29"/>
      <c r="MI845" s="29"/>
      <c r="MJ845" s="29"/>
      <c r="MK845" s="29"/>
      <c r="ML845" s="29"/>
      <c r="MM845" s="29"/>
      <c r="MN845" s="29"/>
      <c r="MO845" s="29"/>
      <c r="MP845" s="29"/>
      <c r="MQ845" s="29"/>
      <c r="MR845" s="29"/>
      <c r="MS845" s="29"/>
      <c r="MT845" s="29"/>
      <c r="MU845" s="29"/>
      <c r="MV845" s="29"/>
      <c r="MW845" s="29"/>
      <c r="MX845" s="29"/>
      <c r="MY845" s="29"/>
      <c r="MZ845" s="29"/>
      <c r="NA845" s="29"/>
      <c r="NB845" s="29"/>
      <c r="NC845" s="29"/>
      <c r="ND845" s="29"/>
      <c r="NE845" s="29"/>
      <c r="NF845" s="29"/>
      <c r="NG845" s="29"/>
      <c r="NH845" s="29"/>
      <c r="NI845" s="29"/>
      <c r="NJ845" s="29"/>
      <c r="NK845" s="29"/>
      <c r="NL845" s="29"/>
      <c r="NM845" s="29"/>
      <c r="NN845" s="29"/>
      <c r="NO845" s="29"/>
      <c r="NP845" s="29"/>
      <c r="NQ845" s="29"/>
      <c r="NR845" s="29"/>
      <c r="NS845" s="29"/>
      <c r="NT845" s="29"/>
      <c r="NU845" s="29"/>
      <c r="NV845" s="29"/>
      <c r="NW845" s="29"/>
      <c r="NX845" s="29"/>
      <c r="NY845" s="29"/>
      <c r="NZ845" s="29"/>
      <c r="OA845" s="29"/>
      <c r="OB845" s="29"/>
      <c r="OC845" s="29"/>
      <c r="OD845" s="29"/>
      <c r="OE845" s="29"/>
      <c r="OF845" s="29"/>
      <c r="OG845" s="29"/>
      <c r="OH845" s="29"/>
      <c r="OI845" s="29"/>
      <c r="OJ845" s="29"/>
      <c r="OK845" s="29"/>
      <c r="OL845" s="29"/>
      <c r="OM845" s="29"/>
      <c r="ON845" s="29"/>
      <c r="OO845" s="29"/>
      <c r="OP845" s="29"/>
      <c r="OQ845" s="29"/>
      <c r="OR845" s="29"/>
      <c r="OS845" s="29"/>
      <c r="OT845" s="29"/>
      <c r="OU845" s="29"/>
      <c r="OV845" s="29"/>
      <c r="OW845" s="29"/>
      <c r="OX845" s="29"/>
      <c r="OY845" s="29"/>
      <c r="OZ845" s="29"/>
      <c r="PA845" s="29"/>
      <c r="PB845" s="29"/>
      <c r="PC845" s="29"/>
      <c r="PD845" s="29"/>
      <c r="PE845" s="29"/>
      <c r="PF845" s="29"/>
      <c r="PG845" s="29"/>
      <c r="PH845" s="29"/>
      <c r="PI845" s="29"/>
      <c r="PJ845" s="29"/>
      <c r="PK845" s="29"/>
      <c r="PL845" s="29"/>
      <c r="PM845" s="29"/>
      <c r="PN845" s="29"/>
      <c r="PO845" s="29"/>
      <c r="PP845" s="29"/>
      <c r="PQ845" s="29"/>
      <c r="PR845" s="29"/>
      <c r="PS845" s="29"/>
      <c r="PT845" s="29"/>
      <c r="PU845" s="29"/>
      <c r="PV845" s="29"/>
      <c r="PW845" s="29"/>
      <c r="PX845" s="29"/>
      <c r="PY845" s="29"/>
      <c r="PZ845" s="29"/>
      <c r="QA845" s="29"/>
      <c r="QB845" s="29"/>
      <c r="QC845" s="29"/>
      <c r="QD845" s="29"/>
      <c r="QE845" s="29"/>
      <c r="QF845" s="29"/>
      <c r="QG845" s="29"/>
      <c r="QH845" s="29"/>
      <c r="QI845" s="29"/>
      <c r="QJ845" s="29"/>
      <c r="QK845" s="29"/>
      <c r="QL845" s="29"/>
      <c r="QM845" s="29"/>
      <c r="QN845" s="29"/>
      <c r="QO845" s="29"/>
      <c r="QP845" s="29"/>
      <c r="QQ845" s="29"/>
      <c r="QR845" s="29"/>
      <c r="QS845" s="29"/>
      <c r="QT845" s="29"/>
      <c r="QU845" s="29"/>
      <c r="QV845" s="29"/>
      <c r="QW845" s="29"/>
      <c r="QX845" s="29"/>
      <c r="QY845" s="29"/>
      <c r="QZ845" s="29"/>
      <c r="RA845" s="29"/>
      <c r="RB845" s="29"/>
      <c r="RC845" s="29"/>
      <c r="RD845" s="29"/>
      <c r="RE845" s="29"/>
      <c r="RF845" s="29"/>
      <c r="RG845" s="29"/>
      <c r="RH845" s="29"/>
      <c r="RI845" s="29"/>
      <c r="RJ845" s="29"/>
      <c r="RK845" s="29"/>
      <c r="RL845" s="29"/>
      <c r="RM845" s="29"/>
      <c r="RN845" s="29"/>
      <c r="RO845" s="29"/>
      <c r="RP845" s="29"/>
      <c r="RQ845" s="29"/>
      <c r="RR845" s="29"/>
      <c r="RS845" s="29"/>
      <c r="RT845" s="29"/>
      <c r="RU845" s="29"/>
      <c r="RV845" s="29"/>
      <c r="RW845" s="29"/>
      <c r="RX845" s="29"/>
      <c r="RY845" s="29"/>
      <c r="RZ845" s="29"/>
      <c r="SA845" s="29"/>
      <c r="SB845" s="29"/>
      <c r="SC845" s="29"/>
      <c r="SD845" s="29"/>
      <c r="SE845" s="29"/>
      <c r="SF845" s="29"/>
      <c r="SG845" s="29"/>
      <c r="SH845" s="29"/>
      <c r="SI845" s="29"/>
      <c r="SJ845" s="29"/>
      <c r="SK845" s="29"/>
      <c r="SL845" s="29"/>
      <c r="SM845" s="29"/>
      <c r="SN845" s="29"/>
      <c r="SO845" s="29"/>
      <c r="SP845" s="29"/>
      <c r="SQ845" s="29"/>
      <c r="SR845" s="29"/>
      <c r="SS845" s="29"/>
      <c r="ST845" s="29"/>
      <c r="SU845" s="29"/>
      <c r="SV845" s="29"/>
      <c r="SW845" s="29"/>
      <c r="SX845" s="29"/>
      <c r="SY845" s="29"/>
      <c r="SZ845" s="29"/>
      <c r="TA845" s="29"/>
      <c r="TB845" s="29"/>
      <c r="TC845" s="29"/>
      <c r="TD845" s="29"/>
      <c r="TE845" s="29"/>
      <c r="TF845" s="29"/>
      <c r="TG845" s="29"/>
      <c r="TH845" s="29"/>
      <c r="TI845" s="29"/>
      <c r="TJ845" s="29"/>
      <c r="TK845" s="29"/>
      <c r="TL845" s="29"/>
      <c r="TM845" s="29"/>
      <c r="TN845" s="29"/>
      <c r="TO845" s="29"/>
      <c r="TP845" s="29"/>
      <c r="TQ845" s="29"/>
      <c r="TR845" s="29"/>
      <c r="TS845" s="29"/>
      <c r="TT845" s="29"/>
      <c r="TU845" s="29"/>
      <c r="TV845" s="29"/>
      <c r="TW845" s="29"/>
      <c r="TX845" s="29"/>
      <c r="TY845" s="29"/>
      <c r="TZ845" s="29"/>
      <c r="UA845" s="29"/>
      <c r="UB845" s="29"/>
      <c r="UC845" s="29"/>
      <c r="UD845" s="29"/>
      <c r="UE845" s="29"/>
      <c r="UF845" s="29"/>
      <c r="UG845" s="29"/>
      <c r="UH845" s="29"/>
      <c r="UI845" s="29"/>
      <c r="UJ845" s="29"/>
      <c r="UK845" s="29"/>
      <c r="UL845" s="29"/>
      <c r="UM845" s="29"/>
      <c r="UN845" s="29"/>
      <c r="UO845" s="29"/>
      <c r="UP845" s="29"/>
      <c r="UQ845" s="29"/>
      <c r="UR845" s="29"/>
      <c r="US845" s="29"/>
      <c r="UT845" s="29"/>
      <c r="UU845" s="29"/>
      <c r="UV845" s="29"/>
      <c r="UW845" s="29"/>
      <c r="UX845" s="29"/>
      <c r="UY845" s="29"/>
      <c r="UZ845" s="29"/>
      <c r="VA845" s="29"/>
      <c r="VB845" s="29"/>
      <c r="VC845" s="29"/>
      <c r="VD845" s="29"/>
      <c r="VE845" s="29"/>
      <c r="VF845" s="29"/>
      <c r="VG845" s="29"/>
      <c r="VH845" s="29"/>
      <c r="VI845" s="29"/>
      <c r="VJ845" s="29"/>
      <c r="VK845" s="29"/>
      <c r="VL845" s="29"/>
      <c r="VM845" s="29"/>
      <c r="VN845" s="29"/>
      <c r="VO845" s="29"/>
      <c r="VP845" s="29"/>
      <c r="VQ845" s="29"/>
      <c r="VR845" s="29"/>
      <c r="VS845" s="29"/>
      <c r="VT845" s="29"/>
      <c r="VU845" s="29"/>
      <c r="VV845" s="29"/>
      <c r="VW845" s="29"/>
      <c r="VX845" s="29"/>
      <c r="VY845" s="29"/>
      <c r="VZ845" s="29"/>
      <c r="WA845" s="29"/>
      <c r="WB845" s="29"/>
    </row>
    <row r="910" spans="1:600" x14ac:dyDescent="0.3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29"/>
      <c r="AB910" s="29"/>
      <c r="AC910" s="29"/>
      <c r="AD910" s="29"/>
      <c r="AE910" s="29"/>
      <c r="AF910" s="29"/>
      <c r="AG910" s="29"/>
      <c r="AH910" s="29"/>
      <c r="AI910" s="29"/>
      <c r="AJ910" s="29"/>
      <c r="AK910" s="29"/>
      <c r="AL910" s="29"/>
      <c r="AM910" s="29"/>
      <c r="AN910" s="29"/>
      <c r="AO910" s="29"/>
      <c r="AP910" s="29"/>
      <c r="AQ910" s="29"/>
      <c r="AR910" s="29"/>
      <c r="AS910" s="29"/>
      <c r="AT910" s="29"/>
      <c r="AU910" s="29"/>
      <c r="AV910" s="29"/>
      <c r="AW910" s="29"/>
      <c r="AX910" s="29"/>
      <c r="AY910" s="29"/>
      <c r="AZ910" s="29"/>
      <c r="BA910" s="29"/>
      <c r="BB910" s="29"/>
      <c r="BC910" s="29"/>
      <c r="BD910" s="29"/>
      <c r="BE910" s="29"/>
      <c r="BF910" s="29"/>
      <c r="BG910" s="29"/>
      <c r="BH910" s="29"/>
      <c r="BI910" s="29"/>
      <c r="BJ910" s="29"/>
      <c r="BK910" s="29"/>
      <c r="BL910" s="29"/>
      <c r="BM910" s="29"/>
      <c r="BN910" s="29"/>
      <c r="BO910" s="29"/>
      <c r="BP910" s="29"/>
      <c r="BQ910" s="29"/>
      <c r="BR910" s="29"/>
      <c r="BS910" s="29"/>
      <c r="BT910" s="29"/>
      <c r="BU910" s="29"/>
      <c r="BV910" s="29"/>
      <c r="BW910" s="29"/>
      <c r="BX910" s="29"/>
      <c r="BY910" s="29"/>
      <c r="BZ910" s="29"/>
      <c r="CA910" s="29"/>
      <c r="CB910" s="29"/>
      <c r="CC910" s="29"/>
      <c r="CD910" s="29"/>
      <c r="CE910" s="29"/>
      <c r="CF910" s="29"/>
      <c r="CG910" s="29"/>
      <c r="CH910" s="29"/>
      <c r="CI910" s="29"/>
      <c r="CJ910" s="29"/>
      <c r="CK910" s="29"/>
      <c r="CL910" s="29"/>
      <c r="CM910" s="29"/>
      <c r="CN910" s="29"/>
      <c r="CO910" s="29"/>
      <c r="CP910" s="29"/>
      <c r="CQ910" s="29"/>
      <c r="CR910" s="29"/>
      <c r="CS910" s="29"/>
      <c r="CT910" s="29"/>
      <c r="CU910" s="29"/>
      <c r="CV910" s="29"/>
      <c r="CW910" s="29"/>
      <c r="CX910" s="29"/>
      <c r="CY910" s="29"/>
      <c r="CZ910" s="29"/>
      <c r="DA910" s="29"/>
      <c r="DB910" s="29"/>
      <c r="DC910" s="29"/>
      <c r="DD910" s="29"/>
      <c r="DE910" s="29"/>
      <c r="DF910" s="29"/>
      <c r="DG910" s="29"/>
      <c r="DH910" s="29"/>
      <c r="DI910" s="29"/>
      <c r="DJ910" s="29"/>
      <c r="DK910" s="29"/>
      <c r="DL910" s="29"/>
      <c r="DM910" s="29"/>
      <c r="DN910" s="29"/>
      <c r="DO910" s="29"/>
      <c r="DP910" s="29"/>
      <c r="DQ910" s="29"/>
      <c r="DR910" s="29"/>
      <c r="DS910" s="29"/>
      <c r="DT910" s="29"/>
      <c r="DU910" s="29"/>
      <c r="DV910" s="29"/>
      <c r="DW910" s="29"/>
      <c r="DX910" s="29"/>
      <c r="DY910" s="29"/>
      <c r="DZ910" s="29"/>
      <c r="EA910" s="29"/>
      <c r="EB910" s="29"/>
      <c r="EC910" s="29"/>
      <c r="ED910" s="29"/>
      <c r="EE910" s="29"/>
      <c r="EF910" s="29"/>
      <c r="EG910" s="29"/>
      <c r="EH910" s="29"/>
      <c r="EI910" s="29"/>
      <c r="EJ910" s="29"/>
      <c r="EK910" s="29"/>
      <c r="EL910" s="29"/>
      <c r="EM910" s="29"/>
      <c r="EN910" s="29"/>
      <c r="EO910" s="29"/>
      <c r="EP910" s="29"/>
      <c r="EQ910" s="29"/>
      <c r="ER910" s="29"/>
      <c r="ES910" s="29"/>
      <c r="ET910" s="29"/>
      <c r="EU910" s="29"/>
      <c r="EV910" s="29"/>
      <c r="EW910" s="29"/>
      <c r="EX910" s="29"/>
      <c r="EY910" s="29"/>
      <c r="EZ910" s="29"/>
      <c r="FA910" s="29"/>
      <c r="FB910" s="29"/>
      <c r="FC910" s="29"/>
      <c r="FD910" s="29"/>
      <c r="FE910" s="29"/>
      <c r="FF910" s="29"/>
      <c r="FG910" s="29"/>
      <c r="FH910" s="29"/>
      <c r="FI910" s="29"/>
      <c r="FJ910" s="29"/>
      <c r="FK910" s="29"/>
      <c r="FL910" s="29"/>
      <c r="FM910" s="29"/>
      <c r="FN910" s="29"/>
      <c r="FO910" s="29"/>
      <c r="FP910" s="29"/>
      <c r="FQ910" s="29"/>
      <c r="FR910" s="29"/>
      <c r="FS910" s="29"/>
      <c r="FT910" s="29"/>
      <c r="FU910" s="29"/>
      <c r="FV910" s="29"/>
      <c r="FW910" s="29"/>
      <c r="FX910" s="29"/>
      <c r="FY910" s="29"/>
      <c r="FZ910" s="29"/>
      <c r="GA910" s="29"/>
      <c r="GB910" s="29"/>
      <c r="GC910" s="29"/>
      <c r="GD910" s="29"/>
      <c r="GE910" s="29"/>
      <c r="GF910" s="29"/>
      <c r="GG910" s="29"/>
      <c r="GH910" s="29"/>
      <c r="GI910" s="29"/>
      <c r="GJ910" s="29"/>
      <c r="GK910" s="29"/>
      <c r="GL910" s="29"/>
      <c r="GM910" s="29"/>
      <c r="GN910" s="29"/>
      <c r="GO910" s="29"/>
      <c r="GP910" s="29"/>
      <c r="GQ910" s="29"/>
      <c r="GR910" s="29"/>
      <c r="GS910" s="29"/>
      <c r="GT910" s="29"/>
      <c r="GU910" s="29"/>
      <c r="GV910" s="29"/>
      <c r="GW910" s="29"/>
      <c r="GX910" s="29"/>
      <c r="GY910" s="29"/>
      <c r="GZ910" s="29"/>
      <c r="HA910" s="29"/>
      <c r="HB910" s="29"/>
      <c r="HC910" s="29"/>
      <c r="HD910" s="29"/>
      <c r="HE910" s="29"/>
      <c r="HF910" s="29"/>
      <c r="HG910" s="29"/>
      <c r="HH910" s="29"/>
      <c r="HI910" s="29"/>
      <c r="HJ910" s="29"/>
      <c r="HK910" s="29"/>
      <c r="HL910" s="29"/>
      <c r="HM910" s="29"/>
      <c r="HN910" s="29"/>
      <c r="HO910" s="29"/>
      <c r="HP910" s="29"/>
      <c r="HQ910" s="29"/>
      <c r="HR910" s="29"/>
      <c r="HS910" s="29"/>
      <c r="HT910" s="29"/>
      <c r="HU910" s="29"/>
      <c r="HV910" s="29"/>
      <c r="HW910" s="29"/>
      <c r="HX910" s="29"/>
      <c r="HY910" s="29"/>
      <c r="HZ910" s="29"/>
      <c r="IA910" s="29"/>
      <c r="IB910" s="29"/>
      <c r="IC910" s="29"/>
      <c r="ID910" s="29"/>
      <c r="IE910" s="29"/>
      <c r="IF910" s="29"/>
      <c r="IG910" s="29"/>
      <c r="IH910" s="29"/>
      <c r="II910" s="29"/>
      <c r="IJ910" s="29"/>
      <c r="IK910" s="29"/>
      <c r="IL910" s="29"/>
      <c r="IM910" s="29"/>
      <c r="IN910" s="29"/>
      <c r="IO910" s="29"/>
      <c r="IP910" s="29"/>
      <c r="IQ910" s="29"/>
      <c r="IR910" s="29"/>
      <c r="IS910" s="29"/>
      <c r="IT910" s="29"/>
      <c r="IU910" s="29"/>
      <c r="IV910" s="29"/>
      <c r="IW910" s="29"/>
      <c r="IX910" s="29"/>
      <c r="IY910" s="29"/>
      <c r="IZ910" s="29"/>
      <c r="JA910" s="29"/>
      <c r="JB910" s="29"/>
      <c r="JC910" s="29"/>
      <c r="JD910" s="29"/>
      <c r="JE910" s="29"/>
      <c r="JF910" s="29"/>
      <c r="JG910" s="29"/>
      <c r="JH910" s="29"/>
      <c r="JI910" s="29"/>
      <c r="JJ910" s="29"/>
      <c r="JK910" s="29"/>
      <c r="JL910" s="29"/>
      <c r="JM910" s="29"/>
      <c r="JN910" s="29"/>
      <c r="JO910" s="29"/>
      <c r="JP910" s="29"/>
      <c r="JQ910" s="29"/>
      <c r="JR910" s="29"/>
      <c r="JS910" s="29"/>
      <c r="JT910" s="29"/>
      <c r="JU910" s="29"/>
      <c r="JV910" s="29"/>
      <c r="JW910" s="29"/>
      <c r="JX910" s="29"/>
      <c r="JY910" s="29"/>
      <c r="JZ910" s="29"/>
      <c r="KA910" s="29"/>
      <c r="KB910" s="29"/>
      <c r="KC910" s="29"/>
      <c r="KD910" s="29"/>
      <c r="KE910" s="29"/>
      <c r="KF910" s="29"/>
      <c r="KG910" s="29"/>
      <c r="KH910" s="29"/>
      <c r="KI910" s="29"/>
      <c r="KJ910" s="29"/>
      <c r="KK910" s="29"/>
      <c r="KL910" s="29"/>
      <c r="KM910" s="29"/>
      <c r="KN910" s="29"/>
      <c r="KO910" s="29"/>
      <c r="KP910" s="29"/>
      <c r="KQ910" s="29"/>
      <c r="KR910" s="29"/>
      <c r="KS910" s="29"/>
      <c r="KT910" s="29"/>
      <c r="KU910" s="29"/>
      <c r="KV910" s="29"/>
      <c r="KW910" s="29"/>
      <c r="KX910" s="29"/>
      <c r="KY910" s="29"/>
      <c r="KZ910" s="29"/>
      <c r="LA910" s="29"/>
      <c r="LB910" s="29"/>
      <c r="LC910" s="29"/>
      <c r="LD910" s="29"/>
      <c r="LE910" s="29"/>
      <c r="LF910" s="29"/>
      <c r="LG910" s="29"/>
      <c r="LH910" s="29"/>
      <c r="LI910" s="29"/>
      <c r="LJ910" s="29"/>
      <c r="LK910" s="29"/>
      <c r="LL910" s="29"/>
      <c r="LM910" s="29"/>
      <c r="LN910" s="29"/>
      <c r="LO910" s="29"/>
      <c r="LP910" s="29"/>
      <c r="LQ910" s="29"/>
      <c r="LR910" s="29"/>
      <c r="LS910" s="29"/>
      <c r="LT910" s="29"/>
      <c r="LU910" s="29"/>
      <c r="LV910" s="29"/>
      <c r="LW910" s="29"/>
      <c r="LX910" s="29"/>
      <c r="LY910" s="29"/>
      <c r="LZ910" s="29"/>
      <c r="MA910" s="29"/>
      <c r="MB910" s="29"/>
      <c r="MC910" s="29"/>
      <c r="MD910" s="29"/>
      <c r="ME910" s="29"/>
      <c r="MF910" s="29"/>
      <c r="MG910" s="29"/>
      <c r="MH910" s="29"/>
      <c r="MI910" s="29"/>
      <c r="MJ910" s="29"/>
      <c r="MK910" s="29"/>
      <c r="ML910" s="29"/>
      <c r="MM910" s="29"/>
      <c r="MN910" s="29"/>
      <c r="MO910" s="29"/>
      <c r="MP910" s="29"/>
      <c r="MQ910" s="29"/>
      <c r="MR910" s="29"/>
      <c r="MS910" s="29"/>
      <c r="MT910" s="29"/>
      <c r="MU910" s="29"/>
      <c r="MV910" s="29"/>
      <c r="MW910" s="29"/>
      <c r="MX910" s="29"/>
      <c r="MY910" s="29"/>
      <c r="MZ910" s="29"/>
      <c r="NA910" s="29"/>
      <c r="NB910" s="29"/>
      <c r="NC910" s="29"/>
      <c r="ND910" s="29"/>
      <c r="NE910" s="29"/>
      <c r="NF910" s="29"/>
      <c r="NG910" s="29"/>
      <c r="NH910" s="29"/>
      <c r="NI910" s="29"/>
      <c r="NJ910" s="29"/>
      <c r="NK910" s="29"/>
      <c r="NL910" s="29"/>
      <c r="NM910" s="29"/>
      <c r="NN910" s="29"/>
      <c r="NO910" s="29"/>
      <c r="NP910" s="29"/>
      <c r="NQ910" s="29"/>
      <c r="NR910" s="29"/>
      <c r="NS910" s="29"/>
      <c r="NT910" s="29"/>
      <c r="NU910" s="29"/>
      <c r="NV910" s="29"/>
      <c r="NW910" s="29"/>
      <c r="NX910" s="29"/>
      <c r="NY910" s="29"/>
      <c r="NZ910" s="29"/>
      <c r="OA910" s="29"/>
      <c r="OB910" s="29"/>
      <c r="OC910" s="29"/>
      <c r="OD910" s="29"/>
      <c r="OE910" s="29"/>
      <c r="OF910" s="29"/>
      <c r="OG910" s="29"/>
      <c r="OH910" s="29"/>
      <c r="OI910" s="29"/>
      <c r="OJ910" s="29"/>
      <c r="OK910" s="29"/>
      <c r="OL910" s="29"/>
      <c r="OM910" s="29"/>
      <c r="ON910" s="29"/>
      <c r="OO910" s="29"/>
      <c r="OP910" s="29"/>
      <c r="OQ910" s="29"/>
      <c r="OR910" s="29"/>
      <c r="OS910" s="29"/>
      <c r="OT910" s="29"/>
      <c r="OU910" s="29"/>
      <c r="OV910" s="29"/>
      <c r="OW910" s="29"/>
      <c r="OX910" s="29"/>
      <c r="OY910" s="29"/>
      <c r="OZ910" s="29"/>
      <c r="PA910" s="29"/>
      <c r="PB910" s="29"/>
      <c r="PC910" s="29"/>
      <c r="PD910" s="29"/>
      <c r="PE910" s="29"/>
      <c r="PF910" s="29"/>
      <c r="PG910" s="29"/>
      <c r="PH910" s="29"/>
      <c r="PI910" s="29"/>
      <c r="PJ910" s="29"/>
      <c r="PK910" s="29"/>
      <c r="PL910" s="29"/>
      <c r="PM910" s="29"/>
      <c r="PN910" s="29"/>
      <c r="PO910" s="29"/>
      <c r="PP910" s="29"/>
      <c r="PQ910" s="29"/>
      <c r="PR910" s="29"/>
      <c r="PS910" s="29"/>
      <c r="PT910" s="29"/>
      <c r="PU910" s="29"/>
      <c r="PV910" s="29"/>
      <c r="PW910" s="29"/>
      <c r="PX910" s="29"/>
      <c r="PY910" s="29"/>
      <c r="PZ910" s="29"/>
      <c r="QA910" s="29"/>
      <c r="QB910" s="29"/>
      <c r="QC910" s="29"/>
      <c r="QD910" s="29"/>
      <c r="QE910" s="29"/>
      <c r="QF910" s="29"/>
      <c r="QG910" s="29"/>
      <c r="QH910" s="29"/>
      <c r="QI910" s="29"/>
      <c r="QJ910" s="29"/>
      <c r="QK910" s="29"/>
      <c r="QL910" s="29"/>
      <c r="QM910" s="29"/>
      <c r="QN910" s="29"/>
      <c r="QO910" s="29"/>
      <c r="QP910" s="29"/>
      <c r="QQ910" s="29"/>
      <c r="QR910" s="29"/>
      <c r="QS910" s="29"/>
      <c r="QT910" s="29"/>
      <c r="QU910" s="29"/>
      <c r="QV910" s="29"/>
      <c r="QW910" s="29"/>
      <c r="QX910" s="29"/>
      <c r="QY910" s="29"/>
      <c r="QZ910" s="29"/>
      <c r="RA910" s="29"/>
      <c r="RB910" s="29"/>
      <c r="RC910" s="29"/>
      <c r="RD910" s="29"/>
      <c r="RE910" s="29"/>
      <c r="RF910" s="29"/>
      <c r="RG910" s="29"/>
      <c r="RH910" s="29"/>
      <c r="RI910" s="29"/>
      <c r="RJ910" s="29"/>
      <c r="RK910" s="29"/>
      <c r="RL910" s="29"/>
      <c r="RM910" s="29"/>
      <c r="RN910" s="29"/>
      <c r="RO910" s="29"/>
      <c r="RP910" s="29"/>
      <c r="RQ910" s="29"/>
      <c r="RR910" s="29"/>
      <c r="RS910" s="29"/>
      <c r="RT910" s="29"/>
      <c r="RU910" s="29"/>
      <c r="RV910" s="29"/>
      <c r="RW910" s="29"/>
      <c r="RX910" s="29"/>
      <c r="RY910" s="29"/>
      <c r="RZ910" s="29"/>
      <c r="SA910" s="29"/>
      <c r="SB910" s="29"/>
      <c r="SC910" s="29"/>
      <c r="SD910" s="29"/>
      <c r="SE910" s="29"/>
      <c r="SF910" s="29"/>
      <c r="SG910" s="29"/>
      <c r="SH910" s="29"/>
      <c r="SI910" s="29"/>
      <c r="SJ910" s="29"/>
      <c r="SK910" s="29"/>
      <c r="SL910" s="29"/>
      <c r="SM910" s="29"/>
      <c r="SN910" s="29"/>
      <c r="SO910" s="29"/>
      <c r="SP910" s="29"/>
      <c r="SQ910" s="29"/>
      <c r="SR910" s="29"/>
      <c r="SS910" s="29"/>
      <c r="ST910" s="29"/>
      <c r="SU910" s="29"/>
      <c r="SV910" s="29"/>
      <c r="SW910" s="29"/>
      <c r="SX910" s="29"/>
      <c r="SY910" s="29"/>
      <c r="SZ910" s="29"/>
      <c r="TA910" s="29"/>
      <c r="TB910" s="29"/>
      <c r="TC910" s="29"/>
      <c r="TD910" s="29"/>
      <c r="TE910" s="29"/>
      <c r="TF910" s="29"/>
      <c r="TG910" s="29"/>
      <c r="TH910" s="29"/>
      <c r="TI910" s="29"/>
      <c r="TJ910" s="29"/>
      <c r="TK910" s="29"/>
      <c r="TL910" s="29"/>
      <c r="TM910" s="29"/>
      <c r="TN910" s="29"/>
      <c r="TO910" s="29"/>
      <c r="TP910" s="29"/>
      <c r="TQ910" s="29"/>
      <c r="TR910" s="29"/>
      <c r="TS910" s="29"/>
      <c r="TT910" s="29"/>
      <c r="TU910" s="29"/>
      <c r="TV910" s="29"/>
      <c r="TW910" s="29"/>
      <c r="TX910" s="29"/>
      <c r="TY910" s="29"/>
      <c r="TZ910" s="29"/>
      <c r="UA910" s="29"/>
      <c r="UB910" s="29"/>
      <c r="UC910" s="29"/>
      <c r="UD910" s="29"/>
      <c r="UE910" s="29"/>
      <c r="UF910" s="29"/>
      <c r="UG910" s="29"/>
      <c r="UH910" s="29"/>
      <c r="UI910" s="29"/>
      <c r="UJ910" s="29"/>
      <c r="UK910" s="29"/>
      <c r="UL910" s="29"/>
      <c r="UM910" s="29"/>
      <c r="UN910" s="29"/>
      <c r="UO910" s="29"/>
      <c r="UP910" s="29"/>
      <c r="UQ910" s="29"/>
      <c r="UR910" s="29"/>
      <c r="US910" s="29"/>
      <c r="UT910" s="29"/>
      <c r="UU910" s="29"/>
      <c r="UV910" s="29"/>
      <c r="UW910" s="29"/>
      <c r="UX910" s="29"/>
      <c r="UY910" s="29"/>
      <c r="UZ910" s="29"/>
      <c r="VA910" s="29"/>
      <c r="VB910" s="29"/>
      <c r="VC910" s="29"/>
      <c r="VD910" s="29"/>
      <c r="VE910" s="29"/>
      <c r="VF910" s="29"/>
      <c r="VG910" s="29"/>
      <c r="VH910" s="29"/>
      <c r="VI910" s="29"/>
      <c r="VJ910" s="29"/>
      <c r="VK910" s="29"/>
      <c r="VL910" s="29"/>
      <c r="VM910" s="29"/>
      <c r="VN910" s="29"/>
      <c r="VO910" s="29"/>
      <c r="VP910" s="29"/>
      <c r="VQ910" s="29"/>
      <c r="VR910" s="29"/>
      <c r="VS910" s="29"/>
      <c r="VT910" s="29"/>
      <c r="VU910" s="29"/>
      <c r="VV910" s="29"/>
      <c r="VW910" s="29"/>
      <c r="VX910" s="29"/>
      <c r="VY910" s="29"/>
      <c r="VZ910" s="29"/>
      <c r="WA910" s="29"/>
      <c r="WB910" s="29"/>
    </row>
    <row r="975" spans="1:600" x14ac:dyDescent="0.3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29"/>
      <c r="AB975" s="29"/>
      <c r="AC975" s="29"/>
      <c r="AD975" s="29"/>
      <c r="AE975" s="29"/>
      <c r="AF975" s="29"/>
      <c r="AG975" s="29"/>
      <c r="AH975" s="29"/>
      <c r="AI975" s="29"/>
      <c r="AJ975" s="29"/>
      <c r="AK975" s="29"/>
      <c r="AL975" s="29"/>
      <c r="AM975" s="29"/>
      <c r="AN975" s="29"/>
      <c r="AO975" s="29"/>
      <c r="AP975" s="29"/>
      <c r="AQ975" s="29"/>
      <c r="AR975" s="29"/>
      <c r="AS975" s="29"/>
      <c r="AT975" s="29"/>
      <c r="AU975" s="29"/>
      <c r="AV975" s="29"/>
      <c r="AW975" s="29"/>
      <c r="AX975" s="29"/>
      <c r="AY975" s="29"/>
      <c r="AZ975" s="29"/>
      <c r="BA975" s="29"/>
      <c r="BB975" s="29"/>
      <c r="BC975" s="29"/>
      <c r="BD975" s="29"/>
      <c r="BE975" s="29"/>
      <c r="BF975" s="29"/>
      <c r="BG975" s="29"/>
      <c r="BH975" s="29"/>
      <c r="BI975" s="29"/>
      <c r="BJ975" s="29"/>
      <c r="BK975" s="29"/>
      <c r="BL975" s="29"/>
      <c r="BM975" s="29"/>
      <c r="BN975" s="29"/>
      <c r="BO975" s="29"/>
      <c r="BP975" s="29"/>
      <c r="BQ975" s="29"/>
      <c r="BR975" s="29"/>
      <c r="BS975" s="29"/>
      <c r="BT975" s="29"/>
      <c r="BU975" s="29"/>
      <c r="BV975" s="29"/>
      <c r="BW975" s="29"/>
      <c r="BX975" s="29"/>
      <c r="BY975" s="29"/>
      <c r="BZ975" s="29"/>
      <c r="CA975" s="29"/>
      <c r="CB975" s="29"/>
      <c r="CC975" s="29"/>
      <c r="CD975" s="29"/>
      <c r="CE975" s="29"/>
      <c r="CF975" s="29"/>
      <c r="CG975" s="29"/>
      <c r="CH975" s="29"/>
      <c r="CI975" s="29"/>
      <c r="CJ975" s="29"/>
      <c r="CK975" s="29"/>
      <c r="CL975" s="29"/>
      <c r="CM975" s="29"/>
      <c r="CN975" s="29"/>
      <c r="CO975" s="29"/>
      <c r="CP975" s="29"/>
      <c r="CQ975" s="29"/>
      <c r="CR975" s="29"/>
      <c r="CS975" s="29"/>
      <c r="CT975" s="29"/>
      <c r="CU975" s="29"/>
      <c r="CV975" s="29"/>
      <c r="CW975" s="29"/>
      <c r="CX975" s="29"/>
      <c r="CY975" s="29"/>
      <c r="CZ975" s="29"/>
      <c r="DA975" s="29"/>
      <c r="DB975" s="29"/>
      <c r="DC975" s="29"/>
      <c r="DD975" s="29"/>
      <c r="DE975" s="29"/>
      <c r="DF975" s="29"/>
      <c r="DG975" s="29"/>
      <c r="DH975" s="29"/>
      <c r="DI975" s="29"/>
      <c r="DJ975" s="29"/>
      <c r="DK975" s="29"/>
      <c r="DL975" s="29"/>
      <c r="DM975" s="29"/>
      <c r="DN975" s="29"/>
      <c r="DO975" s="29"/>
      <c r="DP975" s="29"/>
      <c r="DQ975" s="29"/>
      <c r="DR975" s="29"/>
      <c r="DS975" s="29"/>
      <c r="DT975" s="29"/>
      <c r="DU975" s="29"/>
      <c r="DV975" s="29"/>
      <c r="DW975" s="29"/>
      <c r="DX975" s="29"/>
      <c r="DY975" s="29"/>
      <c r="DZ975" s="29"/>
      <c r="EA975" s="29"/>
      <c r="EB975" s="29"/>
      <c r="EC975" s="29"/>
      <c r="ED975" s="29"/>
      <c r="EE975" s="29"/>
      <c r="EF975" s="29"/>
      <c r="EG975" s="29"/>
      <c r="EH975" s="29"/>
      <c r="EI975" s="29"/>
      <c r="EJ975" s="29"/>
      <c r="EK975" s="29"/>
      <c r="EL975" s="29"/>
      <c r="EM975" s="29"/>
      <c r="EN975" s="29"/>
      <c r="EO975" s="29"/>
      <c r="EP975" s="29"/>
      <c r="EQ975" s="29"/>
      <c r="ER975" s="29"/>
      <c r="ES975" s="29"/>
      <c r="ET975" s="29"/>
      <c r="EU975" s="29"/>
      <c r="EV975" s="29"/>
      <c r="EW975" s="29"/>
      <c r="EX975" s="29"/>
      <c r="EY975" s="29"/>
      <c r="EZ975" s="29"/>
      <c r="FA975" s="29"/>
      <c r="FB975" s="29"/>
      <c r="FC975" s="29"/>
      <c r="FD975" s="29"/>
      <c r="FE975" s="29"/>
      <c r="FF975" s="29"/>
      <c r="FG975" s="29"/>
      <c r="FH975" s="29"/>
      <c r="FI975" s="29"/>
      <c r="FJ975" s="29"/>
      <c r="FK975" s="29"/>
      <c r="FL975" s="29"/>
      <c r="FM975" s="29"/>
      <c r="FN975" s="29"/>
      <c r="FO975" s="29"/>
      <c r="FP975" s="29"/>
      <c r="FQ975" s="29"/>
      <c r="FR975" s="29"/>
      <c r="FS975" s="29"/>
      <c r="FT975" s="29"/>
      <c r="FU975" s="29"/>
      <c r="FV975" s="29"/>
      <c r="FW975" s="29"/>
      <c r="FX975" s="29"/>
      <c r="FY975" s="29"/>
      <c r="FZ975" s="29"/>
      <c r="GA975" s="29"/>
      <c r="GB975" s="29"/>
      <c r="GC975" s="29"/>
      <c r="GD975" s="29"/>
      <c r="GE975" s="29"/>
      <c r="GF975" s="29"/>
      <c r="GG975" s="29"/>
      <c r="GH975" s="29"/>
      <c r="GI975" s="29"/>
      <c r="GJ975" s="29"/>
      <c r="GK975" s="29"/>
      <c r="GL975" s="29"/>
      <c r="GM975" s="29"/>
      <c r="GN975" s="29"/>
      <c r="GO975" s="29"/>
      <c r="GP975" s="29"/>
      <c r="GQ975" s="29"/>
      <c r="GR975" s="29"/>
      <c r="GS975" s="29"/>
      <c r="GT975" s="29"/>
      <c r="GU975" s="29"/>
      <c r="GV975" s="29"/>
      <c r="GW975" s="29"/>
      <c r="GX975" s="29"/>
      <c r="GY975" s="29"/>
      <c r="GZ975" s="29"/>
      <c r="HA975" s="29"/>
      <c r="HB975" s="29"/>
      <c r="HC975" s="29"/>
      <c r="HD975" s="29"/>
      <c r="HE975" s="29"/>
      <c r="HF975" s="29"/>
      <c r="HG975" s="29"/>
      <c r="HH975" s="29"/>
      <c r="HI975" s="29"/>
      <c r="HJ975" s="29"/>
      <c r="HK975" s="29"/>
      <c r="HL975" s="29"/>
      <c r="HM975" s="29"/>
      <c r="HN975" s="29"/>
      <c r="HO975" s="29"/>
      <c r="HP975" s="29"/>
      <c r="HQ975" s="29"/>
      <c r="HR975" s="29"/>
      <c r="HS975" s="29"/>
      <c r="HT975" s="29"/>
      <c r="HU975" s="29"/>
      <c r="HV975" s="29"/>
      <c r="HW975" s="29"/>
      <c r="HX975" s="29"/>
      <c r="HY975" s="29"/>
      <c r="HZ975" s="29"/>
      <c r="IA975" s="29"/>
      <c r="IB975" s="29"/>
      <c r="IC975" s="29"/>
      <c r="ID975" s="29"/>
      <c r="IE975" s="29"/>
      <c r="IF975" s="29"/>
      <c r="IG975" s="29"/>
      <c r="IH975" s="29"/>
      <c r="II975" s="29"/>
      <c r="IJ975" s="29"/>
      <c r="IK975" s="29"/>
      <c r="IL975" s="29"/>
      <c r="IM975" s="29"/>
      <c r="IN975" s="29"/>
      <c r="IO975" s="29"/>
      <c r="IP975" s="29"/>
      <c r="IQ975" s="29"/>
      <c r="IR975" s="29"/>
      <c r="IS975" s="29"/>
      <c r="IT975" s="29"/>
      <c r="IU975" s="29"/>
      <c r="IV975" s="29"/>
      <c r="IW975" s="29"/>
      <c r="IX975" s="29"/>
      <c r="IY975" s="29"/>
      <c r="IZ975" s="29"/>
      <c r="JA975" s="29"/>
      <c r="JB975" s="29"/>
      <c r="JC975" s="29"/>
      <c r="JD975" s="29"/>
      <c r="JE975" s="29"/>
      <c r="JF975" s="29"/>
      <c r="JG975" s="29"/>
      <c r="JH975" s="29"/>
      <c r="JI975" s="29"/>
      <c r="JJ975" s="29"/>
      <c r="JK975" s="29"/>
      <c r="JL975" s="29"/>
      <c r="JM975" s="29"/>
      <c r="JN975" s="29"/>
      <c r="JO975" s="29"/>
      <c r="JP975" s="29"/>
      <c r="JQ975" s="29"/>
      <c r="JR975" s="29"/>
      <c r="JS975" s="29"/>
      <c r="JT975" s="29"/>
      <c r="JU975" s="29"/>
      <c r="JV975" s="29"/>
      <c r="JW975" s="29"/>
      <c r="JX975" s="29"/>
      <c r="JY975" s="29"/>
      <c r="JZ975" s="29"/>
      <c r="KA975" s="29"/>
      <c r="KB975" s="29"/>
      <c r="KC975" s="29"/>
      <c r="KD975" s="29"/>
      <c r="KE975" s="29"/>
      <c r="KF975" s="29"/>
      <c r="KG975" s="29"/>
      <c r="KH975" s="29"/>
      <c r="KI975" s="29"/>
      <c r="KJ975" s="29"/>
      <c r="KK975" s="29"/>
      <c r="KL975" s="29"/>
      <c r="KM975" s="29"/>
      <c r="KN975" s="29"/>
      <c r="KO975" s="29"/>
      <c r="KP975" s="29"/>
      <c r="KQ975" s="29"/>
      <c r="KR975" s="29"/>
      <c r="KS975" s="29"/>
      <c r="KT975" s="29"/>
      <c r="KU975" s="29"/>
      <c r="KV975" s="29"/>
      <c r="KW975" s="29"/>
      <c r="KX975" s="29"/>
      <c r="KY975" s="29"/>
      <c r="KZ975" s="29"/>
      <c r="LA975" s="29"/>
      <c r="LB975" s="29"/>
      <c r="LC975" s="29"/>
      <c r="LD975" s="29"/>
      <c r="LE975" s="29"/>
      <c r="LF975" s="29"/>
      <c r="LG975" s="29"/>
      <c r="LH975" s="29"/>
      <c r="LI975" s="29"/>
      <c r="LJ975" s="29"/>
      <c r="LK975" s="29"/>
      <c r="LL975" s="29"/>
      <c r="LM975" s="29"/>
      <c r="LN975" s="29"/>
      <c r="LO975" s="29"/>
      <c r="LP975" s="29"/>
      <c r="LQ975" s="29"/>
      <c r="LR975" s="29"/>
      <c r="LS975" s="29"/>
      <c r="LT975" s="29"/>
      <c r="LU975" s="29"/>
      <c r="LV975" s="29"/>
      <c r="LW975" s="29"/>
      <c r="LX975" s="29"/>
      <c r="LY975" s="29"/>
      <c r="LZ975" s="29"/>
      <c r="MA975" s="29"/>
      <c r="MB975" s="29"/>
      <c r="MC975" s="29"/>
      <c r="MD975" s="29"/>
      <c r="ME975" s="29"/>
      <c r="MF975" s="29"/>
      <c r="MG975" s="29"/>
      <c r="MH975" s="29"/>
      <c r="MI975" s="29"/>
      <c r="MJ975" s="29"/>
      <c r="MK975" s="29"/>
      <c r="ML975" s="29"/>
      <c r="MM975" s="29"/>
      <c r="MN975" s="29"/>
      <c r="MO975" s="29"/>
      <c r="MP975" s="29"/>
      <c r="MQ975" s="29"/>
      <c r="MR975" s="29"/>
      <c r="MS975" s="29"/>
      <c r="MT975" s="29"/>
      <c r="MU975" s="29"/>
      <c r="MV975" s="29"/>
      <c r="MW975" s="29"/>
      <c r="MX975" s="29"/>
      <c r="MY975" s="29"/>
      <c r="MZ975" s="29"/>
      <c r="NA975" s="29"/>
      <c r="NB975" s="29"/>
      <c r="NC975" s="29"/>
      <c r="ND975" s="29"/>
      <c r="NE975" s="29"/>
      <c r="NF975" s="29"/>
      <c r="NG975" s="29"/>
      <c r="NH975" s="29"/>
      <c r="NI975" s="29"/>
      <c r="NJ975" s="29"/>
      <c r="NK975" s="29"/>
      <c r="NL975" s="29"/>
      <c r="NM975" s="29"/>
      <c r="NN975" s="29"/>
      <c r="NO975" s="29"/>
      <c r="NP975" s="29"/>
      <c r="NQ975" s="29"/>
      <c r="NR975" s="29"/>
      <c r="NS975" s="29"/>
      <c r="NT975" s="29"/>
      <c r="NU975" s="29"/>
      <c r="NV975" s="29"/>
      <c r="NW975" s="29"/>
      <c r="NX975" s="29"/>
      <c r="NY975" s="29"/>
      <c r="NZ975" s="29"/>
      <c r="OA975" s="29"/>
      <c r="OB975" s="29"/>
      <c r="OC975" s="29"/>
      <c r="OD975" s="29"/>
      <c r="OE975" s="29"/>
      <c r="OF975" s="29"/>
      <c r="OG975" s="29"/>
      <c r="OH975" s="29"/>
      <c r="OI975" s="29"/>
      <c r="OJ975" s="29"/>
      <c r="OK975" s="29"/>
      <c r="OL975" s="29"/>
      <c r="OM975" s="29"/>
      <c r="ON975" s="29"/>
      <c r="OO975" s="29"/>
      <c r="OP975" s="29"/>
      <c r="OQ975" s="29"/>
      <c r="OR975" s="29"/>
      <c r="OS975" s="29"/>
      <c r="OT975" s="29"/>
      <c r="OU975" s="29"/>
      <c r="OV975" s="29"/>
      <c r="OW975" s="29"/>
      <c r="OX975" s="29"/>
      <c r="OY975" s="29"/>
      <c r="OZ975" s="29"/>
      <c r="PA975" s="29"/>
      <c r="PB975" s="29"/>
      <c r="PC975" s="29"/>
      <c r="PD975" s="29"/>
      <c r="PE975" s="29"/>
      <c r="PF975" s="29"/>
      <c r="PG975" s="29"/>
      <c r="PH975" s="29"/>
      <c r="PI975" s="29"/>
      <c r="PJ975" s="29"/>
      <c r="PK975" s="29"/>
      <c r="PL975" s="29"/>
      <c r="PM975" s="29"/>
      <c r="PN975" s="29"/>
      <c r="PO975" s="29"/>
      <c r="PP975" s="29"/>
      <c r="PQ975" s="29"/>
      <c r="PR975" s="29"/>
      <c r="PS975" s="29"/>
      <c r="PT975" s="29"/>
      <c r="PU975" s="29"/>
      <c r="PV975" s="29"/>
      <c r="PW975" s="29"/>
      <c r="PX975" s="29"/>
      <c r="PY975" s="29"/>
      <c r="PZ975" s="29"/>
      <c r="QA975" s="29"/>
      <c r="QB975" s="29"/>
      <c r="QC975" s="29"/>
      <c r="QD975" s="29"/>
      <c r="QE975" s="29"/>
      <c r="QF975" s="29"/>
      <c r="QG975" s="29"/>
      <c r="QH975" s="29"/>
      <c r="QI975" s="29"/>
      <c r="QJ975" s="29"/>
      <c r="QK975" s="29"/>
      <c r="QL975" s="29"/>
      <c r="QM975" s="29"/>
      <c r="QN975" s="29"/>
      <c r="QO975" s="29"/>
      <c r="QP975" s="29"/>
      <c r="QQ975" s="29"/>
      <c r="QR975" s="29"/>
      <c r="QS975" s="29"/>
      <c r="QT975" s="29"/>
      <c r="QU975" s="29"/>
      <c r="QV975" s="29"/>
      <c r="QW975" s="29"/>
      <c r="QX975" s="29"/>
      <c r="QY975" s="29"/>
      <c r="QZ975" s="29"/>
      <c r="RA975" s="29"/>
      <c r="RB975" s="29"/>
      <c r="RC975" s="29"/>
      <c r="RD975" s="29"/>
      <c r="RE975" s="29"/>
      <c r="RF975" s="29"/>
      <c r="RG975" s="29"/>
      <c r="RH975" s="29"/>
      <c r="RI975" s="29"/>
      <c r="RJ975" s="29"/>
      <c r="RK975" s="29"/>
      <c r="RL975" s="29"/>
      <c r="RM975" s="29"/>
      <c r="RN975" s="29"/>
      <c r="RO975" s="29"/>
      <c r="RP975" s="29"/>
      <c r="RQ975" s="29"/>
      <c r="RR975" s="29"/>
      <c r="RS975" s="29"/>
      <c r="RT975" s="29"/>
      <c r="RU975" s="29"/>
      <c r="RV975" s="29"/>
      <c r="RW975" s="29"/>
      <c r="RX975" s="29"/>
      <c r="RY975" s="29"/>
      <c r="RZ975" s="29"/>
      <c r="SA975" s="29"/>
      <c r="SB975" s="29"/>
      <c r="SC975" s="29"/>
      <c r="SD975" s="29"/>
      <c r="SE975" s="29"/>
      <c r="SF975" s="29"/>
      <c r="SG975" s="29"/>
      <c r="SH975" s="29"/>
      <c r="SI975" s="29"/>
      <c r="SJ975" s="29"/>
      <c r="SK975" s="29"/>
      <c r="SL975" s="29"/>
      <c r="SM975" s="29"/>
      <c r="SN975" s="29"/>
      <c r="SO975" s="29"/>
      <c r="SP975" s="29"/>
      <c r="SQ975" s="29"/>
      <c r="SR975" s="29"/>
      <c r="SS975" s="29"/>
      <c r="ST975" s="29"/>
      <c r="SU975" s="29"/>
      <c r="SV975" s="29"/>
      <c r="SW975" s="29"/>
      <c r="SX975" s="29"/>
      <c r="SY975" s="29"/>
      <c r="SZ975" s="29"/>
      <c r="TA975" s="29"/>
      <c r="TB975" s="29"/>
      <c r="TC975" s="29"/>
      <c r="TD975" s="29"/>
      <c r="TE975" s="29"/>
      <c r="TF975" s="29"/>
      <c r="TG975" s="29"/>
      <c r="TH975" s="29"/>
      <c r="TI975" s="29"/>
      <c r="TJ975" s="29"/>
      <c r="TK975" s="29"/>
      <c r="TL975" s="29"/>
      <c r="TM975" s="29"/>
      <c r="TN975" s="29"/>
      <c r="TO975" s="29"/>
      <c r="TP975" s="29"/>
      <c r="TQ975" s="29"/>
      <c r="TR975" s="29"/>
      <c r="TS975" s="29"/>
      <c r="TT975" s="29"/>
      <c r="TU975" s="29"/>
      <c r="TV975" s="29"/>
      <c r="TW975" s="29"/>
      <c r="TX975" s="29"/>
      <c r="TY975" s="29"/>
      <c r="TZ975" s="29"/>
      <c r="UA975" s="29"/>
      <c r="UB975" s="29"/>
      <c r="UC975" s="29"/>
      <c r="UD975" s="29"/>
      <c r="UE975" s="29"/>
      <c r="UF975" s="29"/>
      <c r="UG975" s="29"/>
      <c r="UH975" s="29"/>
      <c r="UI975" s="29"/>
      <c r="UJ975" s="29"/>
      <c r="UK975" s="29"/>
      <c r="UL975" s="29"/>
      <c r="UM975" s="29"/>
      <c r="UN975" s="29"/>
      <c r="UO975" s="29"/>
      <c r="UP975" s="29"/>
      <c r="UQ975" s="29"/>
      <c r="UR975" s="29"/>
      <c r="US975" s="29"/>
      <c r="UT975" s="29"/>
      <c r="UU975" s="29"/>
      <c r="UV975" s="29"/>
      <c r="UW975" s="29"/>
      <c r="UX975" s="29"/>
      <c r="UY975" s="29"/>
      <c r="UZ975" s="29"/>
      <c r="VA975" s="29"/>
      <c r="VB975" s="29"/>
      <c r="VC975" s="29"/>
      <c r="VD975" s="29"/>
      <c r="VE975" s="29"/>
      <c r="VF975" s="29"/>
      <c r="VG975" s="29"/>
      <c r="VH975" s="29"/>
      <c r="VI975" s="29"/>
      <c r="VJ975" s="29"/>
      <c r="VK975" s="29"/>
      <c r="VL975" s="29"/>
      <c r="VM975" s="29"/>
      <c r="VN975" s="29"/>
      <c r="VO975" s="29"/>
      <c r="VP975" s="29"/>
      <c r="VQ975" s="29"/>
      <c r="VR975" s="29"/>
      <c r="VS975" s="29"/>
      <c r="VT975" s="29"/>
      <c r="VU975" s="29"/>
      <c r="VV975" s="29"/>
      <c r="VW975" s="29"/>
      <c r="VX975" s="29"/>
      <c r="VY975" s="29"/>
      <c r="VZ975" s="29"/>
      <c r="WA975" s="29"/>
      <c r="WB975" s="29"/>
    </row>
    <row r="1040" spans="1:600" x14ac:dyDescent="0.3">
      <c r="A1040" s="29"/>
      <c r="B1040" s="29"/>
      <c r="C1040" s="29"/>
      <c r="D1040" s="29"/>
      <c r="E1040" s="29"/>
      <c r="F1040" s="29"/>
      <c r="G1040" s="29"/>
      <c r="H1040" s="29"/>
      <c r="I1040" s="29"/>
      <c r="J1040" s="29"/>
      <c r="K1040" s="29"/>
      <c r="L1040" s="29"/>
      <c r="M1040" s="29"/>
      <c r="N1040" s="29"/>
      <c r="O1040" s="29"/>
      <c r="P1040" s="29"/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29"/>
      <c r="AB1040" s="29"/>
      <c r="AC1040" s="29"/>
      <c r="AD1040" s="29"/>
      <c r="AE1040" s="29"/>
      <c r="AF1040" s="29"/>
      <c r="AG1040" s="29"/>
      <c r="AH1040" s="29"/>
      <c r="AI1040" s="29"/>
      <c r="AJ1040" s="29"/>
      <c r="AK1040" s="29"/>
      <c r="AL1040" s="29"/>
      <c r="AM1040" s="29"/>
      <c r="AN1040" s="29"/>
      <c r="AO1040" s="29"/>
      <c r="AP1040" s="29"/>
      <c r="AQ1040" s="29"/>
      <c r="AR1040" s="29"/>
      <c r="AS1040" s="29"/>
      <c r="AT1040" s="29"/>
      <c r="AU1040" s="29"/>
      <c r="AV1040" s="29"/>
      <c r="AW1040" s="29"/>
      <c r="AX1040" s="29"/>
      <c r="AY1040" s="29"/>
      <c r="AZ1040" s="29"/>
      <c r="BA1040" s="29"/>
      <c r="BB1040" s="29"/>
      <c r="BC1040" s="29"/>
      <c r="BD1040" s="29"/>
      <c r="BE1040" s="29"/>
      <c r="BF1040" s="29"/>
      <c r="BG1040" s="29"/>
      <c r="BH1040" s="29"/>
      <c r="BI1040" s="29"/>
      <c r="BJ1040" s="29"/>
      <c r="BK1040" s="29"/>
      <c r="BL1040" s="29"/>
      <c r="BM1040" s="29"/>
      <c r="BN1040" s="29"/>
      <c r="BO1040" s="29"/>
      <c r="BP1040" s="29"/>
      <c r="BQ1040" s="29"/>
      <c r="BR1040" s="29"/>
      <c r="BS1040" s="29"/>
      <c r="BT1040" s="29"/>
      <c r="BU1040" s="29"/>
      <c r="BV1040" s="29"/>
      <c r="BW1040" s="29"/>
      <c r="BX1040" s="29"/>
      <c r="BY1040" s="29"/>
      <c r="BZ1040" s="29"/>
      <c r="CA1040" s="29"/>
      <c r="CB1040" s="29"/>
      <c r="CC1040" s="29"/>
      <c r="CD1040" s="29"/>
      <c r="CE1040" s="29"/>
      <c r="CF1040" s="29"/>
      <c r="CG1040" s="29"/>
      <c r="CH1040" s="29"/>
      <c r="CI1040" s="29"/>
      <c r="CJ1040" s="29"/>
      <c r="CK1040" s="29"/>
      <c r="CL1040" s="29"/>
      <c r="CM1040" s="29"/>
      <c r="CN1040" s="29"/>
      <c r="CO1040" s="29"/>
      <c r="CP1040" s="29"/>
      <c r="CQ1040" s="29"/>
      <c r="CR1040" s="29"/>
      <c r="CS1040" s="29"/>
      <c r="CT1040" s="29"/>
      <c r="CU1040" s="29"/>
      <c r="CV1040" s="29"/>
      <c r="CW1040" s="29"/>
      <c r="CX1040" s="29"/>
      <c r="CY1040" s="29"/>
      <c r="CZ1040" s="29"/>
      <c r="DA1040" s="29"/>
      <c r="DB1040" s="29"/>
      <c r="DC1040" s="29"/>
      <c r="DD1040" s="29"/>
      <c r="DE1040" s="29"/>
      <c r="DF1040" s="29"/>
      <c r="DG1040" s="29"/>
      <c r="DH1040" s="29"/>
      <c r="DI1040" s="29"/>
      <c r="DJ1040" s="29"/>
      <c r="DK1040" s="29"/>
      <c r="DL1040" s="29"/>
      <c r="DM1040" s="29"/>
      <c r="DN1040" s="29"/>
      <c r="DO1040" s="29"/>
      <c r="DP1040" s="29"/>
      <c r="DQ1040" s="29"/>
      <c r="DR1040" s="29"/>
      <c r="DS1040" s="29"/>
      <c r="DT1040" s="29"/>
      <c r="DU1040" s="29"/>
      <c r="DV1040" s="29"/>
      <c r="DW1040" s="29"/>
      <c r="DX1040" s="29"/>
      <c r="DY1040" s="29"/>
      <c r="DZ1040" s="29"/>
      <c r="EA1040" s="29"/>
      <c r="EB1040" s="29"/>
      <c r="EC1040" s="29"/>
      <c r="ED1040" s="29"/>
      <c r="EE1040" s="29"/>
      <c r="EF1040" s="29"/>
      <c r="EG1040" s="29"/>
      <c r="EH1040" s="29"/>
      <c r="EI1040" s="29"/>
      <c r="EJ1040" s="29"/>
      <c r="EK1040" s="29"/>
      <c r="EL1040" s="29"/>
      <c r="EM1040" s="29"/>
      <c r="EN1040" s="29"/>
      <c r="EO1040" s="29"/>
      <c r="EP1040" s="29"/>
      <c r="EQ1040" s="29"/>
      <c r="ER1040" s="29"/>
      <c r="ES1040" s="29"/>
      <c r="ET1040" s="29"/>
      <c r="EU1040" s="29"/>
      <c r="EV1040" s="29"/>
      <c r="EW1040" s="29"/>
      <c r="EX1040" s="29"/>
      <c r="EY1040" s="29"/>
      <c r="EZ1040" s="29"/>
      <c r="FA1040" s="29"/>
      <c r="FB1040" s="29"/>
      <c r="FC1040" s="29"/>
      <c r="FD1040" s="29"/>
      <c r="FE1040" s="29"/>
      <c r="FF1040" s="29"/>
      <c r="FG1040" s="29"/>
      <c r="FH1040" s="29"/>
      <c r="FI1040" s="29"/>
      <c r="FJ1040" s="29"/>
      <c r="FK1040" s="29"/>
      <c r="FL1040" s="29"/>
      <c r="FM1040" s="29"/>
      <c r="FN1040" s="29"/>
      <c r="FO1040" s="29"/>
      <c r="FP1040" s="29"/>
      <c r="FQ1040" s="29"/>
      <c r="FR1040" s="29"/>
      <c r="FS1040" s="29"/>
      <c r="FT1040" s="29"/>
      <c r="FU1040" s="29"/>
      <c r="FV1040" s="29"/>
      <c r="FW1040" s="29"/>
      <c r="FX1040" s="29"/>
      <c r="FY1040" s="29"/>
      <c r="FZ1040" s="29"/>
      <c r="GA1040" s="29"/>
      <c r="GB1040" s="29"/>
      <c r="GC1040" s="29"/>
      <c r="GD1040" s="29"/>
      <c r="GE1040" s="29"/>
      <c r="GF1040" s="29"/>
      <c r="GG1040" s="29"/>
      <c r="GH1040" s="29"/>
      <c r="GI1040" s="29"/>
      <c r="GJ1040" s="29"/>
      <c r="GK1040" s="29"/>
      <c r="GL1040" s="29"/>
      <c r="GM1040" s="29"/>
      <c r="GN1040" s="29"/>
      <c r="GO1040" s="29"/>
      <c r="GP1040" s="29"/>
      <c r="GQ1040" s="29"/>
      <c r="GR1040" s="29"/>
      <c r="GS1040" s="29"/>
      <c r="GT1040" s="29"/>
      <c r="GU1040" s="29"/>
      <c r="GV1040" s="29"/>
      <c r="GW1040" s="29"/>
      <c r="GX1040" s="29"/>
      <c r="GY1040" s="29"/>
      <c r="GZ1040" s="29"/>
      <c r="HA1040" s="29"/>
      <c r="HB1040" s="29"/>
      <c r="HC1040" s="29"/>
      <c r="HD1040" s="29"/>
      <c r="HE1040" s="29"/>
      <c r="HF1040" s="29"/>
      <c r="HG1040" s="29"/>
      <c r="HH1040" s="29"/>
      <c r="HI1040" s="29"/>
      <c r="HJ1040" s="29"/>
      <c r="HK1040" s="29"/>
      <c r="HL1040" s="29"/>
      <c r="HM1040" s="29"/>
      <c r="HN1040" s="29"/>
      <c r="HO1040" s="29"/>
      <c r="HP1040" s="29"/>
      <c r="HQ1040" s="29"/>
      <c r="HR1040" s="29"/>
      <c r="HS1040" s="29"/>
      <c r="HT1040" s="29"/>
      <c r="HU1040" s="29"/>
      <c r="HV1040" s="29"/>
      <c r="HW1040" s="29"/>
      <c r="HX1040" s="29"/>
      <c r="HY1040" s="29"/>
      <c r="HZ1040" s="29"/>
      <c r="IA1040" s="29"/>
      <c r="IB1040" s="29"/>
      <c r="IC1040" s="29"/>
      <c r="ID1040" s="29"/>
      <c r="IE1040" s="29"/>
      <c r="IF1040" s="29"/>
      <c r="IG1040" s="29"/>
      <c r="IH1040" s="29"/>
      <c r="II1040" s="29"/>
      <c r="IJ1040" s="29"/>
      <c r="IK1040" s="29"/>
      <c r="IL1040" s="29"/>
      <c r="IM1040" s="29"/>
      <c r="IN1040" s="29"/>
      <c r="IO1040" s="29"/>
      <c r="IP1040" s="29"/>
      <c r="IQ1040" s="29"/>
      <c r="IR1040" s="29"/>
      <c r="IS1040" s="29"/>
      <c r="IT1040" s="29"/>
      <c r="IU1040" s="29"/>
      <c r="IV1040" s="29"/>
      <c r="IW1040" s="29"/>
      <c r="IX1040" s="29"/>
      <c r="IY1040" s="29"/>
      <c r="IZ1040" s="29"/>
      <c r="JA1040" s="29"/>
      <c r="JB1040" s="29"/>
      <c r="JC1040" s="29"/>
      <c r="JD1040" s="29"/>
      <c r="JE1040" s="29"/>
      <c r="JF1040" s="29"/>
      <c r="JG1040" s="29"/>
      <c r="JH1040" s="29"/>
      <c r="JI1040" s="29"/>
      <c r="JJ1040" s="29"/>
      <c r="JK1040" s="29"/>
      <c r="JL1040" s="29"/>
      <c r="JM1040" s="29"/>
      <c r="JN1040" s="29"/>
      <c r="JO1040" s="29"/>
      <c r="JP1040" s="29"/>
      <c r="JQ1040" s="29"/>
      <c r="JR1040" s="29"/>
      <c r="JS1040" s="29"/>
      <c r="JT1040" s="29"/>
      <c r="JU1040" s="29"/>
      <c r="JV1040" s="29"/>
      <c r="JW1040" s="29"/>
      <c r="JX1040" s="29"/>
      <c r="JY1040" s="29"/>
      <c r="JZ1040" s="29"/>
      <c r="KA1040" s="29"/>
      <c r="KB1040" s="29"/>
      <c r="KC1040" s="29"/>
      <c r="KD1040" s="29"/>
      <c r="KE1040" s="29"/>
      <c r="KF1040" s="29"/>
      <c r="KG1040" s="29"/>
      <c r="KH1040" s="29"/>
      <c r="KI1040" s="29"/>
      <c r="KJ1040" s="29"/>
      <c r="KK1040" s="29"/>
      <c r="KL1040" s="29"/>
      <c r="KM1040" s="29"/>
      <c r="KN1040" s="29"/>
      <c r="KO1040" s="29"/>
      <c r="KP1040" s="29"/>
      <c r="KQ1040" s="29"/>
      <c r="KR1040" s="29"/>
      <c r="KS1040" s="29"/>
      <c r="KT1040" s="29"/>
      <c r="KU1040" s="29"/>
      <c r="KV1040" s="29"/>
      <c r="KW1040" s="29"/>
      <c r="KX1040" s="29"/>
      <c r="KY1040" s="29"/>
      <c r="KZ1040" s="29"/>
      <c r="LA1040" s="29"/>
      <c r="LB1040" s="29"/>
      <c r="LC1040" s="29"/>
      <c r="LD1040" s="29"/>
      <c r="LE1040" s="29"/>
      <c r="LF1040" s="29"/>
      <c r="LG1040" s="29"/>
      <c r="LH1040" s="29"/>
      <c r="LI1040" s="29"/>
      <c r="LJ1040" s="29"/>
      <c r="LK1040" s="29"/>
      <c r="LL1040" s="29"/>
      <c r="LM1040" s="29"/>
      <c r="LN1040" s="29"/>
      <c r="LO1040" s="29"/>
      <c r="LP1040" s="29"/>
      <c r="LQ1040" s="29"/>
      <c r="LR1040" s="29"/>
      <c r="LS1040" s="29"/>
      <c r="LT1040" s="29"/>
      <c r="LU1040" s="29"/>
      <c r="LV1040" s="29"/>
      <c r="LW1040" s="29"/>
      <c r="LX1040" s="29"/>
      <c r="LY1040" s="29"/>
      <c r="LZ1040" s="29"/>
      <c r="MA1040" s="29"/>
      <c r="MB1040" s="29"/>
      <c r="MC1040" s="29"/>
      <c r="MD1040" s="29"/>
      <c r="ME1040" s="29"/>
      <c r="MF1040" s="29"/>
      <c r="MG1040" s="29"/>
      <c r="MH1040" s="29"/>
      <c r="MI1040" s="29"/>
      <c r="MJ1040" s="29"/>
      <c r="MK1040" s="29"/>
      <c r="ML1040" s="29"/>
      <c r="MM1040" s="29"/>
      <c r="MN1040" s="29"/>
      <c r="MO1040" s="29"/>
      <c r="MP1040" s="29"/>
      <c r="MQ1040" s="29"/>
      <c r="MR1040" s="29"/>
      <c r="MS1040" s="29"/>
      <c r="MT1040" s="29"/>
      <c r="MU1040" s="29"/>
      <c r="MV1040" s="29"/>
      <c r="MW1040" s="29"/>
      <c r="MX1040" s="29"/>
      <c r="MY1040" s="29"/>
      <c r="MZ1040" s="29"/>
      <c r="NA1040" s="29"/>
      <c r="NB1040" s="29"/>
      <c r="NC1040" s="29"/>
      <c r="ND1040" s="29"/>
      <c r="NE1040" s="29"/>
      <c r="NF1040" s="29"/>
      <c r="NG1040" s="29"/>
      <c r="NH1040" s="29"/>
      <c r="NI1040" s="29"/>
      <c r="NJ1040" s="29"/>
      <c r="NK1040" s="29"/>
      <c r="NL1040" s="29"/>
      <c r="NM1040" s="29"/>
      <c r="NN1040" s="29"/>
      <c r="NO1040" s="29"/>
      <c r="NP1040" s="29"/>
      <c r="NQ1040" s="29"/>
      <c r="NR1040" s="29"/>
      <c r="NS1040" s="29"/>
      <c r="NT1040" s="29"/>
      <c r="NU1040" s="29"/>
      <c r="NV1040" s="29"/>
      <c r="NW1040" s="29"/>
      <c r="NX1040" s="29"/>
      <c r="NY1040" s="29"/>
      <c r="NZ1040" s="29"/>
      <c r="OA1040" s="29"/>
      <c r="OB1040" s="29"/>
      <c r="OC1040" s="29"/>
      <c r="OD1040" s="29"/>
      <c r="OE1040" s="29"/>
      <c r="OF1040" s="29"/>
      <c r="OG1040" s="29"/>
      <c r="OH1040" s="29"/>
      <c r="OI1040" s="29"/>
      <c r="OJ1040" s="29"/>
      <c r="OK1040" s="29"/>
      <c r="OL1040" s="29"/>
      <c r="OM1040" s="29"/>
      <c r="ON1040" s="29"/>
      <c r="OO1040" s="29"/>
      <c r="OP1040" s="29"/>
      <c r="OQ1040" s="29"/>
      <c r="OR1040" s="29"/>
      <c r="OS1040" s="29"/>
      <c r="OT1040" s="29"/>
      <c r="OU1040" s="29"/>
      <c r="OV1040" s="29"/>
      <c r="OW1040" s="29"/>
      <c r="OX1040" s="29"/>
      <c r="OY1040" s="29"/>
      <c r="OZ1040" s="29"/>
      <c r="PA1040" s="29"/>
      <c r="PB1040" s="29"/>
      <c r="PC1040" s="29"/>
      <c r="PD1040" s="29"/>
      <c r="PE1040" s="29"/>
      <c r="PF1040" s="29"/>
      <c r="PG1040" s="29"/>
      <c r="PH1040" s="29"/>
      <c r="PI1040" s="29"/>
      <c r="PJ1040" s="29"/>
      <c r="PK1040" s="29"/>
      <c r="PL1040" s="29"/>
      <c r="PM1040" s="29"/>
      <c r="PN1040" s="29"/>
      <c r="PO1040" s="29"/>
      <c r="PP1040" s="29"/>
      <c r="PQ1040" s="29"/>
      <c r="PR1040" s="29"/>
      <c r="PS1040" s="29"/>
      <c r="PT1040" s="29"/>
      <c r="PU1040" s="29"/>
      <c r="PV1040" s="29"/>
      <c r="PW1040" s="29"/>
      <c r="PX1040" s="29"/>
      <c r="PY1040" s="29"/>
      <c r="PZ1040" s="29"/>
      <c r="QA1040" s="29"/>
      <c r="QB1040" s="29"/>
      <c r="QC1040" s="29"/>
      <c r="QD1040" s="29"/>
      <c r="QE1040" s="29"/>
      <c r="QF1040" s="29"/>
      <c r="QG1040" s="29"/>
      <c r="QH1040" s="29"/>
      <c r="QI1040" s="29"/>
      <c r="QJ1040" s="29"/>
      <c r="QK1040" s="29"/>
      <c r="QL1040" s="29"/>
      <c r="QM1040" s="29"/>
      <c r="QN1040" s="29"/>
      <c r="QO1040" s="29"/>
      <c r="QP1040" s="29"/>
      <c r="QQ1040" s="29"/>
      <c r="QR1040" s="29"/>
      <c r="QS1040" s="29"/>
      <c r="QT1040" s="29"/>
      <c r="QU1040" s="29"/>
      <c r="QV1040" s="29"/>
      <c r="QW1040" s="29"/>
      <c r="QX1040" s="29"/>
      <c r="QY1040" s="29"/>
      <c r="QZ1040" s="29"/>
      <c r="RA1040" s="29"/>
      <c r="RB1040" s="29"/>
      <c r="RC1040" s="29"/>
      <c r="RD1040" s="29"/>
      <c r="RE1040" s="29"/>
      <c r="RF1040" s="29"/>
      <c r="RG1040" s="29"/>
      <c r="RH1040" s="29"/>
      <c r="RI1040" s="29"/>
      <c r="RJ1040" s="29"/>
      <c r="RK1040" s="29"/>
      <c r="RL1040" s="29"/>
      <c r="RM1040" s="29"/>
      <c r="RN1040" s="29"/>
      <c r="RO1040" s="29"/>
      <c r="RP1040" s="29"/>
      <c r="RQ1040" s="29"/>
      <c r="RR1040" s="29"/>
      <c r="RS1040" s="29"/>
      <c r="RT1040" s="29"/>
      <c r="RU1040" s="29"/>
      <c r="RV1040" s="29"/>
      <c r="RW1040" s="29"/>
      <c r="RX1040" s="29"/>
      <c r="RY1040" s="29"/>
      <c r="RZ1040" s="29"/>
      <c r="SA1040" s="29"/>
      <c r="SB1040" s="29"/>
      <c r="SC1040" s="29"/>
      <c r="SD1040" s="29"/>
      <c r="SE1040" s="29"/>
      <c r="SF1040" s="29"/>
      <c r="SG1040" s="29"/>
      <c r="SH1040" s="29"/>
      <c r="SI1040" s="29"/>
      <c r="SJ1040" s="29"/>
      <c r="SK1040" s="29"/>
      <c r="SL1040" s="29"/>
      <c r="SM1040" s="29"/>
      <c r="SN1040" s="29"/>
      <c r="SO1040" s="29"/>
      <c r="SP1040" s="29"/>
      <c r="SQ1040" s="29"/>
      <c r="SR1040" s="29"/>
      <c r="SS1040" s="29"/>
      <c r="ST1040" s="29"/>
      <c r="SU1040" s="29"/>
      <c r="SV1040" s="29"/>
      <c r="SW1040" s="29"/>
      <c r="SX1040" s="29"/>
      <c r="SY1040" s="29"/>
      <c r="SZ1040" s="29"/>
      <c r="TA1040" s="29"/>
      <c r="TB1040" s="29"/>
      <c r="TC1040" s="29"/>
      <c r="TD1040" s="29"/>
      <c r="TE1040" s="29"/>
      <c r="TF1040" s="29"/>
      <c r="TG1040" s="29"/>
      <c r="TH1040" s="29"/>
      <c r="TI1040" s="29"/>
      <c r="TJ1040" s="29"/>
      <c r="TK1040" s="29"/>
      <c r="TL1040" s="29"/>
      <c r="TM1040" s="29"/>
      <c r="TN1040" s="29"/>
      <c r="TO1040" s="29"/>
      <c r="TP1040" s="29"/>
      <c r="TQ1040" s="29"/>
      <c r="TR1040" s="29"/>
      <c r="TS1040" s="29"/>
      <c r="TT1040" s="29"/>
      <c r="TU1040" s="29"/>
      <c r="TV1040" s="29"/>
      <c r="TW1040" s="29"/>
      <c r="TX1040" s="29"/>
      <c r="TY1040" s="29"/>
      <c r="TZ1040" s="29"/>
      <c r="UA1040" s="29"/>
      <c r="UB1040" s="29"/>
      <c r="UC1040" s="29"/>
      <c r="UD1040" s="29"/>
      <c r="UE1040" s="29"/>
      <c r="UF1040" s="29"/>
      <c r="UG1040" s="29"/>
      <c r="UH1040" s="29"/>
      <c r="UI1040" s="29"/>
      <c r="UJ1040" s="29"/>
      <c r="UK1040" s="29"/>
      <c r="UL1040" s="29"/>
      <c r="UM1040" s="29"/>
      <c r="UN1040" s="29"/>
      <c r="UO1040" s="29"/>
      <c r="UP1040" s="29"/>
      <c r="UQ1040" s="29"/>
      <c r="UR1040" s="29"/>
      <c r="US1040" s="29"/>
      <c r="UT1040" s="29"/>
      <c r="UU1040" s="29"/>
      <c r="UV1040" s="29"/>
      <c r="UW1040" s="29"/>
      <c r="UX1040" s="29"/>
      <c r="UY1040" s="29"/>
      <c r="UZ1040" s="29"/>
      <c r="VA1040" s="29"/>
      <c r="VB1040" s="29"/>
      <c r="VC1040" s="29"/>
      <c r="VD1040" s="29"/>
      <c r="VE1040" s="29"/>
      <c r="VF1040" s="29"/>
      <c r="VG1040" s="29"/>
      <c r="VH1040" s="29"/>
      <c r="VI1040" s="29"/>
      <c r="VJ1040" s="29"/>
      <c r="VK1040" s="29"/>
      <c r="VL1040" s="29"/>
      <c r="VM1040" s="29"/>
      <c r="VN1040" s="29"/>
      <c r="VO1040" s="29"/>
      <c r="VP1040" s="29"/>
      <c r="VQ1040" s="29"/>
      <c r="VR1040" s="29"/>
      <c r="VS1040" s="29"/>
      <c r="VT1040" s="29"/>
      <c r="VU1040" s="29"/>
      <c r="VV1040" s="29"/>
      <c r="VW1040" s="29"/>
      <c r="VX1040" s="29"/>
      <c r="VY1040" s="29"/>
      <c r="VZ1040" s="29"/>
      <c r="WA1040" s="29"/>
      <c r="WB1040" s="29"/>
    </row>
    <row r="1105" spans="1:600" x14ac:dyDescent="0.3">
      <c r="A1105" s="29"/>
      <c r="B1105" s="29"/>
      <c r="C1105" s="29"/>
      <c r="D1105" s="29"/>
      <c r="E1105" s="29"/>
      <c r="F1105" s="29"/>
      <c r="G1105" s="29"/>
      <c r="H1105" s="29"/>
      <c r="I1105" s="29"/>
      <c r="J1105" s="29"/>
      <c r="K1105" s="29"/>
      <c r="L1105" s="29"/>
      <c r="M1105" s="29"/>
      <c r="N1105" s="29"/>
      <c r="O1105" s="29"/>
      <c r="P1105" s="29"/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29"/>
      <c r="AB1105" s="29"/>
      <c r="AC1105" s="29"/>
      <c r="AD1105" s="29"/>
      <c r="AE1105" s="29"/>
      <c r="AF1105" s="29"/>
      <c r="AG1105" s="29"/>
      <c r="AH1105" s="29"/>
      <c r="AI1105" s="29"/>
      <c r="AJ1105" s="29"/>
      <c r="AK1105" s="29"/>
      <c r="AL1105" s="29"/>
      <c r="AM1105" s="29"/>
      <c r="AN1105" s="29"/>
      <c r="AO1105" s="29"/>
      <c r="AP1105" s="29"/>
      <c r="AQ1105" s="29"/>
      <c r="AR1105" s="29"/>
      <c r="AS1105" s="29"/>
      <c r="AT1105" s="29"/>
      <c r="AU1105" s="29"/>
      <c r="AV1105" s="29"/>
      <c r="AW1105" s="29"/>
      <c r="AX1105" s="29"/>
      <c r="AY1105" s="29"/>
      <c r="AZ1105" s="29"/>
      <c r="BA1105" s="29"/>
      <c r="BB1105" s="29"/>
      <c r="BC1105" s="29"/>
      <c r="BD1105" s="29"/>
      <c r="BE1105" s="29"/>
      <c r="BF1105" s="29"/>
      <c r="BG1105" s="29"/>
      <c r="BH1105" s="29"/>
      <c r="BI1105" s="29"/>
      <c r="BJ1105" s="29"/>
      <c r="BK1105" s="29"/>
      <c r="BL1105" s="29"/>
      <c r="BM1105" s="29"/>
      <c r="BN1105" s="29"/>
      <c r="BO1105" s="29"/>
      <c r="BP1105" s="29"/>
      <c r="BQ1105" s="29"/>
      <c r="BR1105" s="29"/>
      <c r="BS1105" s="29"/>
      <c r="BT1105" s="29"/>
      <c r="BU1105" s="29"/>
      <c r="BV1105" s="29"/>
      <c r="BW1105" s="29"/>
      <c r="BX1105" s="29"/>
      <c r="BY1105" s="29"/>
      <c r="BZ1105" s="29"/>
      <c r="CA1105" s="29"/>
      <c r="CB1105" s="29"/>
      <c r="CC1105" s="29"/>
      <c r="CD1105" s="29"/>
      <c r="CE1105" s="29"/>
      <c r="CF1105" s="29"/>
      <c r="CG1105" s="29"/>
      <c r="CH1105" s="29"/>
      <c r="CI1105" s="29"/>
      <c r="CJ1105" s="29"/>
      <c r="CK1105" s="29"/>
      <c r="CL1105" s="29"/>
      <c r="CM1105" s="29"/>
      <c r="CN1105" s="29"/>
      <c r="CO1105" s="29"/>
      <c r="CP1105" s="29"/>
      <c r="CQ1105" s="29"/>
      <c r="CR1105" s="29"/>
      <c r="CS1105" s="29"/>
      <c r="CT1105" s="29"/>
      <c r="CU1105" s="29"/>
      <c r="CV1105" s="29"/>
      <c r="CW1105" s="29"/>
      <c r="CX1105" s="29"/>
      <c r="CY1105" s="29"/>
      <c r="CZ1105" s="29"/>
      <c r="DA1105" s="29"/>
      <c r="DB1105" s="29"/>
      <c r="DC1105" s="29"/>
      <c r="DD1105" s="29"/>
      <c r="DE1105" s="29"/>
      <c r="DF1105" s="29"/>
      <c r="DG1105" s="29"/>
      <c r="DH1105" s="29"/>
      <c r="DI1105" s="29"/>
      <c r="DJ1105" s="29"/>
      <c r="DK1105" s="29"/>
      <c r="DL1105" s="29"/>
      <c r="DM1105" s="29"/>
      <c r="DN1105" s="29"/>
      <c r="DO1105" s="29"/>
      <c r="DP1105" s="29"/>
      <c r="DQ1105" s="29"/>
      <c r="DR1105" s="29"/>
      <c r="DS1105" s="29"/>
      <c r="DT1105" s="29"/>
      <c r="DU1105" s="29"/>
      <c r="DV1105" s="29"/>
      <c r="DW1105" s="29"/>
      <c r="DX1105" s="29"/>
      <c r="DY1105" s="29"/>
      <c r="DZ1105" s="29"/>
      <c r="EA1105" s="29"/>
      <c r="EB1105" s="29"/>
      <c r="EC1105" s="29"/>
      <c r="ED1105" s="29"/>
      <c r="EE1105" s="29"/>
      <c r="EF1105" s="29"/>
      <c r="EG1105" s="29"/>
      <c r="EH1105" s="29"/>
      <c r="EI1105" s="29"/>
      <c r="EJ1105" s="29"/>
      <c r="EK1105" s="29"/>
      <c r="EL1105" s="29"/>
      <c r="EM1105" s="29"/>
      <c r="EN1105" s="29"/>
      <c r="EO1105" s="29"/>
      <c r="EP1105" s="29"/>
      <c r="EQ1105" s="29"/>
      <c r="ER1105" s="29"/>
      <c r="ES1105" s="29"/>
      <c r="ET1105" s="29"/>
      <c r="EU1105" s="29"/>
      <c r="EV1105" s="29"/>
      <c r="EW1105" s="29"/>
      <c r="EX1105" s="29"/>
      <c r="EY1105" s="29"/>
      <c r="EZ1105" s="29"/>
      <c r="FA1105" s="29"/>
      <c r="FB1105" s="29"/>
      <c r="FC1105" s="29"/>
      <c r="FD1105" s="29"/>
      <c r="FE1105" s="29"/>
      <c r="FF1105" s="29"/>
      <c r="FG1105" s="29"/>
      <c r="FH1105" s="29"/>
      <c r="FI1105" s="29"/>
      <c r="FJ1105" s="29"/>
      <c r="FK1105" s="29"/>
      <c r="FL1105" s="29"/>
      <c r="FM1105" s="29"/>
      <c r="FN1105" s="29"/>
      <c r="FO1105" s="29"/>
      <c r="FP1105" s="29"/>
      <c r="FQ1105" s="29"/>
      <c r="FR1105" s="29"/>
      <c r="FS1105" s="29"/>
      <c r="FT1105" s="29"/>
      <c r="FU1105" s="29"/>
      <c r="FV1105" s="29"/>
      <c r="FW1105" s="29"/>
      <c r="FX1105" s="29"/>
      <c r="FY1105" s="29"/>
      <c r="FZ1105" s="29"/>
      <c r="GA1105" s="29"/>
      <c r="GB1105" s="29"/>
      <c r="GC1105" s="29"/>
      <c r="GD1105" s="29"/>
      <c r="GE1105" s="29"/>
      <c r="GF1105" s="29"/>
      <c r="GG1105" s="29"/>
      <c r="GH1105" s="29"/>
      <c r="GI1105" s="29"/>
      <c r="GJ1105" s="29"/>
      <c r="GK1105" s="29"/>
      <c r="GL1105" s="29"/>
      <c r="GM1105" s="29"/>
      <c r="GN1105" s="29"/>
      <c r="GO1105" s="29"/>
      <c r="GP1105" s="29"/>
      <c r="GQ1105" s="29"/>
      <c r="GR1105" s="29"/>
      <c r="GS1105" s="29"/>
      <c r="GT1105" s="29"/>
      <c r="GU1105" s="29"/>
      <c r="GV1105" s="29"/>
      <c r="GW1105" s="29"/>
      <c r="GX1105" s="29"/>
      <c r="GY1105" s="29"/>
      <c r="GZ1105" s="29"/>
      <c r="HA1105" s="29"/>
      <c r="HB1105" s="29"/>
      <c r="HC1105" s="29"/>
      <c r="HD1105" s="29"/>
      <c r="HE1105" s="29"/>
      <c r="HF1105" s="29"/>
      <c r="HG1105" s="29"/>
      <c r="HH1105" s="29"/>
      <c r="HI1105" s="29"/>
      <c r="HJ1105" s="29"/>
      <c r="HK1105" s="29"/>
      <c r="HL1105" s="29"/>
      <c r="HM1105" s="29"/>
      <c r="HN1105" s="29"/>
      <c r="HO1105" s="29"/>
      <c r="HP1105" s="29"/>
      <c r="HQ1105" s="29"/>
      <c r="HR1105" s="29"/>
      <c r="HS1105" s="29"/>
      <c r="HT1105" s="29"/>
      <c r="HU1105" s="29"/>
      <c r="HV1105" s="29"/>
      <c r="HW1105" s="29"/>
      <c r="HX1105" s="29"/>
      <c r="HY1105" s="29"/>
      <c r="HZ1105" s="29"/>
      <c r="IA1105" s="29"/>
      <c r="IB1105" s="29"/>
      <c r="IC1105" s="29"/>
      <c r="ID1105" s="29"/>
      <c r="IE1105" s="29"/>
      <c r="IF1105" s="29"/>
      <c r="IG1105" s="29"/>
      <c r="IH1105" s="29"/>
      <c r="II1105" s="29"/>
      <c r="IJ1105" s="29"/>
      <c r="IK1105" s="29"/>
      <c r="IL1105" s="29"/>
      <c r="IM1105" s="29"/>
      <c r="IN1105" s="29"/>
      <c r="IO1105" s="29"/>
      <c r="IP1105" s="29"/>
      <c r="IQ1105" s="29"/>
      <c r="IR1105" s="29"/>
      <c r="IS1105" s="29"/>
      <c r="IT1105" s="29"/>
      <c r="IU1105" s="29"/>
      <c r="IV1105" s="29"/>
      <c r="IW1105" s="29"/>
      <c r="IX1105" s="29"/>
      <c r="IY1105" s="29"/>
      <c r="IZ1105" s="29"/>
      <c r="JA1105" s="29"/>
      <c r="JB1105" s="29"/>
      <c r="JC1105" s="29"/>
      <c r="JD1105" s="29"/>
      <c r="JE1105" s="29"/>
      <c r="JF1105" s="29"/>
      <c r="JG1105" s="29"/>
      <c r="JH1105" s="29"/>
      <c r="JI1105" s="29"/>
      <c r="JJ1105" s="29"/>
      <c r="JK1105" s="29"/>
      <c r="JL1105" s="29"/>
      <c r="JM1105" s="29"/>
      <c r="JN1105" s="29"/>
      <c r="JO1105" s="29"/>
      <c r="JP1105" s="29"/>
      <c r="JQ1105" s="29"/>
      <c r="JR1105" s="29"/>
      <c r="JS1105" s="29"/>
      <c r="JT1105" s="29"/>
      <c r="JU1105" s="29"/>
      <c r="JV1105" s="29"/>
      <c r="JW1105" s="29"/>
      <c r="JX1105" s="29"/>
      <c r="JY1105" s="29"/>
      <c r="JZ1105" s="29"/>
      <c r="KA1105" s="29"/>
      <c r="KB1105" s="29"/>
      <c r="KC1105" s="29"/>
      <c r="KD1105" s="29"/>
      <c r="KE1105" s="29"/>
      <c r="KF1105" s="29"/>
      <c r="KG1105" s="29"/>
      <c r="KH1105" s="29"/>
      <c r="KI1105" s="29"/>
      <c r="KJ1105" s="29"/>
      <c r="KK1105" s="29"/>
      <c r="KL1105" s="29"/>
      <c r="KM1105" s="29"/>
      <c r="KN1105" s="29"/>
      <c r="KO1105" s="29"/>
      <c r="KP1105" s="29"/>
      <c r="KQ1105" s="29"/>
      <c r="KR1105" s="29"/>
      <c r="KS1105" s="29"/>
      <c r="KT1105" s="29"/>
      <c r="KU1105" s="29"/>
      <c r="KV1105" s="29"/>
      <c r="KW1105" s="29"/>
      <c r="KX1105" s="29"/>
      <c r="KY1105" s="29"/>
      <c r="KZ1105" s="29"/>
      <c r="LA1105" s="29"/>
      <c r="LB1105" s="29"/>
      <c r="LC1105" s="29"/>
      <c r="LD1105" s="29"/>
      <c r="LE1105" s="29"/>
      <c r="LF1105" s="29"/>
      <c r="LG1105" s="29"/>
      <c r="LH1105" s="29"/>
      <c r="LI1105" s="29"/>
      <c r="LJ1105" s="29"/>
      <c r="LK1105" s="29"/>
      <c r="LL1105" s="29"/>
      <c r="LM1105" s="29"/>
      <c r="LN1105" s="29"/>
      <c r="LO1105" s="29"/>
      <c r="LP1105" s="29"/>
      <c r="LQ1105" s="29"/>
      <c r="LR1105" s="29"/>
      <c r="LS1105" s="29"/>
      <c r="LT1105" s="29"/>
      <c r="LU1105" s="29"/>
      <c r="LV1105" s="29"/>
      <c r="LW1105" s="29"/>
      <c r="LX1105" s="29"/>
      <c r="LY1105" s="29"/>
      <c r="LZ1105" s="29"/>
      <c r="MA1105" s="29"/>
      <c r="MB1105" s="29"/>
      <c r="MC1105" s="29"/>
      <c r="MD1105" s="29"/>
      <c r="ME1105" s="29"/>
      <c r="MF1105" s="29"/>
      <c r="MG1105" s="29"/>
      <c r="MH1105" s="29"/>
      <c r="MI1105" s="29"/>
      <c r="MJ1105" s="29"/>
      <c r="MK1105" s="29"/>
      <c r="ML1105" s="29"/>
      <c r="MM1105" s="29"/>
      <c r="MN1105" s="29"/>
      <c r="MO1105" s="29"/>
      <c r="MP1105" s="29"/>
      <c r="MQ1105" s="29"/>
      <c r="MR1105" s="29"/>
      <c r="MS1105" s="29"/>
      <c r="MT1105" s="29"/>
      <c r="MU1105" s="29"/>
      <c r="MV1105" s="29"/>
      <c r="MW1105" s="29"/>
      <c r="MX1105" s="29"/>
      <c r="MY1105" s="29"/>
      <c r="MZ1105" s="29"/>
      <c r="NA1105" s="29"/>
      <c r="NB1105" s="29"/>
      <c r="NC1105" s="29"/>
      <c r="ND1105" s="29"/>
      <c r="NE1105" s="29"/>
      <c r="NF1105" s="29"/>
      <c r="NG1105" s="29"/>
      <c r="NH1105" s="29"/>
      <c r="NI1105" s="29"/>
      <c r="NJ1105" s="29"/>
      <c r="NK1105" s="29"/>
      <c r="NL1105" s="29"/>
      <c r="NM1105" s="29"/>
      <c r="NN1105" s="29"/>
      <c r="NO1105" s="29"/>
      <c r="NP1105" s="29"/>
      <c r="NQ1105" s="29"/>
      <c r="NR1105" s="29"/>
      <c r="NS1105" s="29"/>
      <c r="NT1105" s="29"/>
      <c r="NU1105" s="29"/>
      <c r="NV1105" s="29"/>
      <c r="NW1105" s="29"/>
      <c r="NX1105" s="29"/>
      <c r="NY1105" s="29"/>
      <c r="NZ1105" s="29"/>
      <c r="OA1105" s="29"/>
      <c r="OB1105" s="29"/>
      <c r="OC1105" s="29"/>
      <c r="OD1105" s="29"/>
      <c r="OE1105" s="29"/>
      <c r="OF1105" s="29"/>
      <c r="OG1105" s="29"/>
      <c r="OH1105" s="29"/>
      <c r="OI1105" s="29"/>
      <c r="OJ1105" s="29"/>
      <c r="OK1105" s="29"/>
      <c r="OL1105" s="29"/>
      <c r="OM1105" s="29"/>
      <c r="ON1105" s="29"/>
      <c r="OO1105" s="29"/>
      <c r="OP1105" s="29"/>
      <c r="OQ1105" s="29"/>
      <c r="OR1105" s="29"/>
      <c r="OS1105" s="29"/>
      <c r="OT1105" s="29"/>
      <c r="OU1105" s="29"/>
      <c r="OV1105" s="29"/>
      <c r="OW1105" s="29"/>
      <c r="OX1105" s="29"/>
      <c r="OY1105" s="29"/>
      <c r="OZ1105" s="29"/>
      <c r="PA1105" s="29"/>
      <c r="PB1105" s="29"/>
      <c r="PC1105" s="29"/>
      <c r="PD1105" s="29"/>
      <c r="PE1105" s="29"/>
      <c r="PF1105" s="29"/>
      <c r="PG1105" s="29"/>
      <c r="PH1105" s="29"/>
      <c r="PI1105" s="29"/>
      <c r="PJ1105" s="29"/>
      <c r="PK1105" s="29"/>
      <c r="PL1105" s="29"/>
      <c r="PM1105" s="29"/>
      <c r="PN1105" s="29"/>
      <c r="PO1105" s="29"/>
      <c r="PP1105" s="29"/>
      <c r="PQ1105" s="29"/>
      <c r="PR1105" s="29"/>
      <c r="PS1105" s="29"/>
      <c r="PT1105" s="29"/>
      <c r="PU1105" s="29"/>
      <c r="PV1105" s="29"/>
      <c r="PW1105" s="29"/>
      <c r="PX1105" s="29"/>
      <c r="PY1105" s="29"/>
      <c r="PZ1105" s="29"/>
      <c r="QA1105" s="29"/>
      <c r="QB1105" s="29"/>
      <c r="QC1105" s="29"/>
      <c r="QD1105" s="29"/>
      <c r="QE1105" s="29"/>
      <c r="QF1105" s="29"/>
      <c r="QG1105" s="29"/>
      <c r="QH1105" s="29"/>
      <c r="QI1105" s="29"/>
      <c r="QJ1105" s="29"/>
      <c r="QK1105" s="29"/>
      <c r="QL1105" s="29"/>
      <c r="QM1105" s="29"/>
      <c r="QN1105" s="29"/>
      <c r="QO1105" s="29"/>
      <c r="QP1105" s="29"/>
      <c r="QQ1105" s="29"/>
      <c r="QR1105" s="29"/>
      <c r="QS1105" s="29"/>
      <c r="QT1105" s="29"/>
      <c r="QU1105" s="29"/>
      <c r="QV1105" s="29"/>
      <c r="QW1105" s="29"/>
      <c r="QX1105" s="29"/>
      <c r="QY1105" s="29"/>
      <c r="QZ1105" s="29"/>
      <c r="RA1105" s="29"/>
      <c r="RB1105" s="29"/>
      <c r="RC1105" s="29"/>
      <c r="RD1105" s="29"/>
      <c r="RE1105" s="29"/>
      <c r="RF1105" s="29"/>
      <c r="RG1105" s="29"/>
      <c r="RH1105" s="29"/>
      <c r="RI1105" s="29"/>
      <c r="RJ1105" s="29"/>
      <c r="RK1105" s="29"/>
      <c r="RL1105" s="29"/>
      <c r="RM1105" s="29"/>
      <c r="RN1105" s="29"/>
      <c r="RO1105" s="29"/>
      <c r="RP1105" s="29"/>
      <c r="RQ1105" s="29"/>
      <c r="RR1105" s="29"/>
      <c r="RS1105" s="29"/>
      <c r="RT1105" s="29"/>
      <c r="RU1105" s="29"/>
      <c r="RV1105" s="29"/>
      <c r="RW1105" s="29"/>
      <c r="RX1105" s="29"/>
      <c r="RY1105" s="29"/>
      <c r="RZ1105" s="29"/>
      <c r="SA1105" s="29"/>
      <c r="SB1105" s="29"/>
      <c r="SC1105" s="29"/>
      <c r="SD1105" s="29"/>
      <c r="SE1105" s="29"/>
      <c r="SF1105" s="29"/>
      <c r="SG1105" s="29"/>
      <c r="SH1105" s="29"/>
      <c r="SI1105" s="29"/>
      <c r="SJ1105" s="29"/>
      <c r="SK1105" s="29"/>
      <c r="SL1105" s="29"/>
      <c r="SM1105" s="29"/>
      <c r="SN1105" s="29"/>
      <c r="SO1105" s="29"/>
      <c r="SP1105" s="29"/>
      <c r="SQ1105" s="29"/>
      <c r="SR1105" s="29"/>
      <c r="SS1105" s="29"/>
      <c r="ST1105" s="29"/>
      <c r="SU1105" s="29"/>
      <c r="SV1105" s="29"/>
      <c r="SW1105" s="29"/>
      <c r="SX1105" s="29"/>
      <c r="SY1105" s="29"/>
      <c r="SZ1105" s="29"/>
      <c r="TA1105" s="29"/>
      <c r="TB1105" s="29"/>
      <c r="TC1105" s="29"/>
      <c r="TD1105" s="29"/>
      <c r="TE1105" s="29"/>
      <c r="TF1105" s="29"/>
      <c r="TG1105" s="29"/>
      <c r="TH1105" s="29"/>
      <c r="TI1105" s="29"/>
      <c r="TJ1105" s="29"/>
      <c r="TK1105" s="29"/>
      <c r="TL1105" s="29"/>
      <c r="TM1105" s="29"/>
      <c r="TN1105" s="29"/>
      <c r="TO1105" s="29"/>
      <c r="TP1105" s="29"/>
      <c r="TQ1105" s="29"/>
      <c r="TR1105" s="29"/>
      <c r="TS1105" s="29"/>
      <c r="TT1105" s="29"/>
      <c r="TU1105" s="29"/>
      <c r="TV1105" s="29"/>
      <c r="TW1105" s="29"/>
      <c r="TX1105" s="29"/>
      <c r="TY1105" s="29"/>
      <c r="TZ1105" s="29"/>
      <c r="UA1105" s="29"/>
      <c r="UB1105" s="29"/>
      <c r="UC1105" s="29"/>
      <c r="UD1105" s="29"/>
      <c r="UE1105" s="29"/>
      <c r="UF1105" s="29"/>
      <c r="UG1105" s="29"/>
      <c r="UH1105" s="29"/>
      <c r="UI1105" s="29"/>
      <c r="UJ1105" s="29"/>
      <c r="UK1105" s="29"/>
      <c r="UL1105" s="29"/>
      <c r="UM1105" s="29"/>
      <c r="UN1105" s="29"/>
      <c r="UO1105" s="29"/>
      <c r="UP1105" s="29"/>
      <c r="UQ1105" s="29"/>
      <c r="UR1105" s="29"/>
      <c r="US1105" s="29"/>
      <c r="UT1105" s="29"/>
      <c r="UU1105" s="29"/>
      <c r="UV1105" s="29"/>
      <c r="UW1105" s="29"/>
      <c r="UX1105" s="29"/>
      <c r="UY1105" s="29"/>
      <c r="UZ1105" s="29"/>
      <c r="VA1105" s="29"/>
      <c r="VB1105" s="29"/>
      <c r="VC1105" s="29"/>
      <c r="VD1105" s="29"/>
      <c r="VE1105" s="29"/>
      <c r="VF1105" s="29"/>
      <c r="VG1105" s="29"/>
      <c r="VH1105" s="29"/>
      <c r="VI1105" s="29"/>
      <c r="VJ1105" s="29"/>
      <c r="VK1105" s="29"/>
      <c r="VL1105" s="29"/>
      <c r="VM1105" s="29"/>
      <c r="VN1105" s="29"/>
      <c r="VO1105" s="29"/>
      <c r="VP1105" s="29"/>
      <c r="VQ1105" s="29"/>
      <c r="VR1105" s="29"/>
      <c r="VS1105" s="29"/>
      <c r="VT1105" s="29"/>
      <c r="VU1105" s="29"/>
      <c r="VV1105" s="29"/>
      <c r="VW1105" s="29"/>
      <c r="VX1105" s="29"/>
      <c r="VY1105" s="29"/>
      <c r="VZ1105" s="29"/>
      <c r="WA1105" s="29"/>
      <c r="WB1105" s="29"/>
    </row>
    <row r="1170" spans="1:600" x14ac:dyDescent="0.3">
      <c r="A1170" s="29"/>
      <c r="B1170" s="29"/>
      <c r="C1170" s="29"/>
      <c r="D1170" s="29"/>
      <c r="E1170" s="29"/>
      <c r="F1170" s="29"/>
      <c r="G1170" s="29"/>
      <c r="H1170" s="29"/>
      <c r="I1170" s="29"/>
      <c r="J1170" s="29"/>
      <c r="K1170" s="29"/>
      <c r="L1170" s="29"/>
      <c r="M1170" s="29"/>
      <c r="N1170" s="29"/>
      <c r="O1170" s="29"/>
      <c r="P1170" s="29"/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29"/>
      <c r="AB1170" s="29"/>
      <c r="AC1170" s="29"/>
      <c r="AD1170" s="29"/>
      <c r="AE1170" s="29"/>
      <c r="AF1170" s="29"/>
      <c r="AG1170" s="29"/>
      <c r="AH1170" s="29"/>
      <c r="AI1170" s="29"/>
      <c r="AJ1170" s="29"/>
      <c r="AK1170" s="29"/>
      <c r="AL1170" s="29"/>
      <c r="AM1170" s="29"/>
      <c r="AN1170" s="29"/>
      <c r="AO1170" s="29"/>
      <c r="AP1170" s="29"/>
      <c r="AQ1170" s="29"/>
      <c r="AR1170" s="29"/>
      <c r="AS1170" s="29"/>
      <c r="AT1170" s="29"/>
      <c r="AU1170" s="29"/>
      <c r="AV1170" s="29"/>
      <c r="AW1170" s="29"/>
      <c r="AX1170" s="29"/>
      <c r="AY1170" s="29"/>
      <c r="AZ1170" s="29"/>
      <c r="BA1170" s="29"/>
      <c r="BB1170" s="29"/>
      <c r="BC1170" s="29"/>
      <c r="BD1170" s="29"/>
      <c r="BE1170" s="29"/>
      <c r="BF1170" s="29"/>
      <c r="BG1170" s="29"/>
      <c r="BH1170" s="29"/>
      <c r="BI1170" s="29"/>
      <c r="BJ1170" s="29"/>
      <c r="BK1170" s="29"/>
      <c r="BL1170" s="29"/>
      <c r="BM1170" s="29"/>
      <c r="BN1170" s="29"/>
      <c r="BO1170" s="29"/>
      <c r="BP1170" s="29"/>
      <c r="BQ1170" s="29"/>
      <c r="BR1170" s="29"/>
      <c r="BS1170" s="29"/>
      <c r="BT1170" s="29"/>
      <c r="BU1170" s="29"/>
      <c r="BV1170" s="29"/>
      <c r="BW1170" s="29"/>
      <c r="BX1170" s="29"/>
      <c r="BY1170" s="29"/>
      <c r="BZ1170" s="29"/>
      <c r="CA1170" s="29"/>
      <c r="CB1170" s="29"/>
      <c r="CC1170" s="29"/>
      <c r="CD1170" s="29"/>
      <c r="CE1170" s="29"/>
      <c r="CF1170" s="29"/>
      <c r="CG1170" s="29"/>
      <c r="CH1170" s="29"/>
      <c r="CI1170" s="29"/>
      <c r="CJ1170" s="29"/>
      <c r="CK1170" s="29"/>
      <c r="CL1170" s="29"/>
      <c r="CM1170" s="29"/>
      <c r="CN1170" s="29"/>
      <c r="CO1170" s="29"/>
      <c r="CP1170" s="29"/>
      <c r="CQ1170" s="29"/>
      <c r="CR1170" s="29"/>
      <c r="CS1170" s="29"/>
      <c r="CT1170" s="29"/>
      <c r="CU1170" s="29"/>
      <c r="CV1170" s="29"/>
      <c r="CW1170" s="29"/>
      <c r="CX1170" s="29"/>
      <c r="CY1170" s="29"/>
      <c r="CZ1170" s="29"/>
      <c r="DA1170" s="29"/>
      <c r="DB1170" s="29"/>
      <c r="DC1170" s="29"/>
      <c r="DD1170" s="29"/>
      <c r="DE1170" s="29"/>
      <c r="DF1170" s="29"/>
      <c r="DG1170" s="29"/>
      <c r="DH1170" s="29"/>
      <c r="DI1170" s="29"/>
      <c r="DJ1170" s="29"/>
      <c r="DK1170" s="29"/>
      <c r="DL1170" s="29"/>
      <c r="DM1170" s="29"/>
      <c r="DN1170" s="29"/>
      <c r="DO1170" s="29"/>
      <c r="DP1170" s="29"/>
      <c r="DQ1170" s="29"/>
      <c r="DR1170" s="29"/>
      <c r="DS1170" s="29"/>
      <c r="DT1170" s="29"/>
      <c r="DU1170" s="29"/>
      <c r="DV1170" s="29"/>
      <c r="DW1170" s="29"/>
      <c r="DX1170" s="29"/>
      <c r="DY1170" s="29"/>
      <c r="DZ1170" s="29"/>
      <c r="EA1170" s="29"/>
      <c r="EB1170" s="29"/>
      <c r="EC1170" s="29"/>
      <c r="ED1170" s="29"/>
      <c r="EE1170" s="29"/>
      <c r="EF1170" s="29"/>
      <c r="EG1170" s="29"/>
      <c r="EH1170" s="29"/>
      <c r="EI1170" s="29"/>
      <c r="EJ1170" s="29"/>
      <c r="EK1170" s="29"/>
      <c r="EL1170" s="29"/>
      <c r="EM1170" s="29"/>
      <c r="EN1170" s="29"/>
      <c r="EO1170" s="29"/>
      <c r="EP1170" s="29"/>
      <c r="EQ1170" s="29"/>
      <c r="ER1170" s="29"/>
      <c r="ES1170" s="29"/>
      <c r="ET1170" s="29"/>
      <c r="EU1170" s="29"/>
      <c r="EV1170" s="29"/>
      <c r="EW1170" s="29"/>
      <c r="EX1170" s="29"/>
      <c r="EY1170" s="29"/>
      <c r="EZ1170" s="29"/>
      <c r="FA1170" s="29"/>
      <c r="FB1170" s="29"/>
      <c r="FC1170" s="29"/>
      <c r="FD1170" s="29"/>
      <c r="FE1170" s="29"/>
      <c r="FF1170" s="29"/>
      <c r="FG1170" s="29"/>
      <c r="FH1170" s="29"/>
      <c r="FI1170" s="29"/>
      <c r="FJ1170" s="29"/>
      <c r="FK1170" s="29"/>
      <c r="FL1170" s="29"/>
      <c r="FM1170" s="29"/>
      <c r="FN1170" s="29"/>
      <c r="FO1170" s="29"/>
      <c r="FP1170" s="29"/>
      <c r="FQ1170" s="29"/>
      <c r="FR1170" s="29"/>
      <c r="FS1170" s="29"/>
      <c r="FT1170" s="29"/>
      <c r="FU1170" s="29"/>
      <c r="FV1170" s="29"/>
      <c r="FW1170" s="29"/>
      <c r="FX1170" s="29"/>
      <c r="FY1170" s="29"/>
      <c r="FZ1170" s="29"/>
      <c r="GA1170" s="29"/>
      <c r="GB1170" s="29"/>
      <c r="GC1170" s="29"/>
      <c r="GD1170" s="29"/>
      <c r="GE1170" s="29"/>
      <c r="GF1170" s="29"/>
      <c r="GG1170" s="29"/>
      <c r="GH1170" s="29"/>
      <c r="GI1170" s="29"/>
      <c r="GJ1170" s="29"/>
      <c r="GK1170" s="29"/>
      <c r="GL1170" s="29"/>
      <c r="GM1170" s="29"/>
      <c r="GN1170" s="29"/>
      <c r="GO1170" s="29"/>
      <c r="GP1170" s="29"/>
      <c r="GQ1170" s="29"/>
      <c r="GR1170" s="29"/>
      <c r="GS1170" s="29"/>
      <c r="GT1170" s="29"/>
      <c r="GU1170" s="29"/>
      <c r="GV1170" s="29"/>
      <c r="GW1170" s="29"/>
      <c r="GX1170" s="29"/>
      <c r="GY1170" s="29"/>
      <c r="GZ1170" s="29"/>
      <c r="HA1170" s="29"/>
      <c r="HB1170" s="29"/>
      <c r="HC1170" s="29"/>
      <c r="HD1170" s="29"/>
      <c r="HE1170" s="29"/>
      <c r="HF1170" s="29"/>
      <c r="HG1170" s="29"/>
      <c r="HH1170" s="29"/>
      <c r="HI1170" s="29"/>
      <c r="HJ1170" s="29"/>
      <c r="HK1170" s="29"/>
      <c r="HL1170" s="29"/>
      <c r="HM1170" s="29"/>
      <c r="HN1170" s="29"/>
      <c r="HO1170" s="29"/>
      <c r="HP1170" s="29"/>
      <c r="HQ1170" s="29"/>
      <c r="HR1170" s="29"/>
      <c r="HS1170" s="29"/>
      <c r="HT1170" s="29"/>
      <c r="HU1170" s="29"/>
      <c r="HV1170" s="29"/>
      <c r="HW1170" s="29"/>
      <c r="HX1170" s="29"/>
      <c r="HY1170" s="29"/>
      <c r="HZ1170" s="29"/>
      <c r="IA1170" s="29"/>
      <c r="IB1170" s="29"/>
      <c r="IC1170" s="29"/>
      <c r="ID1170" s="29"/>
      <c r="IE1170" s="29"/>
      <c r="IF1170" s="29"/>
      <c r="IG1170" s="29"/>
      <c r="IH1170" s="29"/>
      <c r="II1170" s="29"/>
      <c r="IJ1170" s="29"/>
      <c r="IK1170" s="29"/>
      <c r="IL1170" s="29"/>
      <c r="IM1170" s="29"/>
      <c r="IN1170" s="29"/>
      <c r="IO1170" s="29"/>
      <c r="IP1170" s="29"/>
      <c r="IQ1170" s="29"/>
      <c r="IR1170" s="29"/>
      <c r="IS1170" s="29"/>
      <c r="IT1170" s="29"/>
      <c r="IU1170" s="29"/>
      <c r="IV1170" s="29"/>
      <c r="IW1170" s="29"/>
      <c r="IX1170" s="29"/>
      <c r="IY1170" s="29"/>
      <c r="IZ1170" s="29"/>
      <c r="JA1170" s="29"/>
      <c r="JB1170" s="29"/>
      <c r="JC1170" s="29"/>
      <c r="JD1170" s="29"/>
      <c r="JE1170" s="29"/>
      <c r="JF1170" s="29"/>
      <c r="JG1170" s="29"/>
      <c r="JH1170" s="29"/>
      <c r="JI1170" s="29"/>
      <c r="JJ1170" s="29"/>
      <c r="JK1170" s="29"/>
      <c r="JL1170" s="29"/>
      <c r="JM1170" s="29"/>
      <c r="JN1170" s="29"/>
      <c r="JO1170" s="29"/>
      <c r="JP1170" s="29"/>
      <c r="JQ1170" s="29"/>
      <c r="JR1170" s="29"/>
      <c r="JS1170" s="29"/>
      <c r="JT1170" s="29"/>
      <c r="JU1170" s="29"/>
      <c r="JV1170" s="29"/>
      <c r="JW1170" s="29"/>
      <c r="JX1170" s="29"/>
      <c r="JY1170" s="29"/>
      <c r="JZ1170" s="29"/>
      <c r="KA1170" s="29"/>
      <c r="KB1170" s="29"/>
      <c r="KC1170" s="29"/>
      <c r="KD1170" s="29"/>
      <c r="KE1170" s="29"/>
      <c r="KF1170" s="29"/>
      <c r="KG1170" s="29"/>
      <c r="KH1170" s="29"/>
      <c r="KI1170" s="29"/>
      <c r="KJ1170" s="29"/>
      <c r="KK1170" s="29"/>
      <c r="KL1170" s="29"/>
      <c r="KM1170" s="29"/>
      <c r="KN1170" s="29"/>
      <c r="KO1170" s="29"/>
      <c r="KP1170" s="29"/>
      <c r="KQ1170" s="29"/>
      <c r="KR1170" s="29"/>
      <c r="KS1170" s="29"/>
      <c r="KT1170" s="29"/>
      <c r="KU1170" s="29"/>
      <c r="KV1170" s="29"/>
      <c r="KW1170" s="29"/>
      <c r="KX1170" s="29"/>
      <c r="KY1170" s="29"/>
      <c r="KZ1170" s="29"/>
      <c r="LA1170" s="29"/>
      <c r="LB1170" s="29"/>
      <c r="LC1170" s="29"/>
      <c r="LD1170" s="29"/>
      <c r="LE1170" s="29"/>
      <c r="LF1170" s="29"/>
      <c r="LG1170" s="29"/>
      <c r="LH1170" s="29"/>
      <c r="LI1170" s="29"/>
      <c r="LJ1170" s="29"/>
      <c r="LK1170" s="29"/>
      <c r="LL1170" s="29"/>
      <c r="LM1170" s="29"/>
      <c r="LN1170" s="29"/>
      <c r="LO1170" s="29"/>
      <c r="LP1170" s="29"/>
      <c r="LQ1170" s="29"/>
      <c r="LR1170" s="29"/>
      <c r="LS1170" s="29"/>
      <c r="LT1170" s="29"/>
      <c r="LU1170" s="29"/>
      <c r="LV1170" s="29"/>
      <c r="LW1170" s="29"/>
      <c r="LX1170" s="29"/>
      <c r="LY1170" s="29"/>
      <c r="LZ1170" s="29"/>
      <c r="MA1170" s="29"/>
      <c r="MB1170" s="29"/>
      <c r="MC1170" s="29"/>
      <c r="MD1170" s="29"/>
      <c r="ME1170" s="29"/>
      <c r="MF1170" s="29"/>
      <c r="MG1170" s="29"/>
      <c r="MH1170" s="29"/>
      <c r="MI1170" s="29"/>
      <c r="MJ1170" s="29"/>
      <c r="MK1170" s="29"/>
      <c r="ML1170" s="29"/>
      <c r="MM1170" s="29"/>
      <c r="MN1170" s="29"/>
      <c r="MO1170" s="29"/>
      <c r="MP1170" s="29"/>
      <c r="MQ1170" s="29"/>
      <c r="MR1170" s="29"/>
      <c r="MS1170" s="29"/>
      <c r="MT1170" s="29"/>
      <c r="MU1170" s="29"/>
      <c r="MV1170" s="29"/>
      <c r="MW1170" s="29"/>
      <c r="MX1170" s="29"/>
      <c r="MY1170" s="29"/>
      <c r="MZ1170" s="29"/>
      <c r="NA1170" s="29"/>
      <c r="NB1170" s="29"/>
      <c r="NC1170" s="29"/>
      <c r="ND1170" s="29"/>
      <c r="NE1170" s="29"/>
      <c r="NF1170" s="29"/>
      <c r="NG1170" s="29"/>
      <c r="NH1170" s="29"/>
      <c r="NI1170" s="29"/>
      <c r="NJ1170" s="29"/>
      <c r="NK1170" s="29"/>
      <c r="NL1170" s="29"/>
      <c r="NM1170" s="29"/>
      <c r="NN1170" s="29"/>
      <c r="NO1170" s="29"/>
      <c r="NP1170" s="29"/>
      <c r="NQ1170" s="29"/>
      <c r="NR1170" s="29"/>
      <c r="NS1170" s="29"/>
      <c r="NT1170" s="29"/>
      <c r="NU1170" s="29"/>
      <c r="NV1170" s="29"/>
      <c r="NW1170" s="29"/>
      <c r="NX1170" s="29"/>
      <c r="NY1170" s="29"/>
      <c r="NZ1170" s="29"/>
      <c r="OA1170" s="29"/>
      <c r="OB1170" s="29"/>
      <c r="OC1170" s="29"/>
      <c r="OD1170" s="29"/>
      <c r="OE1170" s="29"/>
      <c r="OF1170" s="29"/>
      <c r="OG1170" s="29"/>
      <c r="OH1170" s="29"/>
      <c r="OI1170" s="29"/>
      <c r="OJ1170" s="29"/>
      <c r="OK1170" s="29"/>
      <c r="OL1170" s="29"/>
      <c r="OM1170" s="29"/>
      <c r="ON1170" s="29"/>
      <c r="OO1170" s="29"/>
      <c r="OP1170" s="29"/>
      <c r="OQ1170" s="29"/>
      <c r="OR1170" s="29"/>
      <c r="OS1170" s="29"/>
      <c r="OT1170" s="29"/>
      <c r="OU1170" s="29"/>
      <c r="OV1170" s="29"/>
      <c r="OW1170" s="29"/>
      <c r="OX1170" s="29"/>
      <c r="OY1170" s="29"/>
      <c r="OZ1170" s="29"/>
      <c r="PA1170" s="29"/>
      <c r="PB1170" s="29"/>
      <c r="PC1170" s="29"/>
      <c r="PD1170" s="29"/>
      <c r="PE1170" s="29"/>
      <c r="PF1170" s="29"/>
      <c r="PG1170" s="29"/>
      <c r="PH1170" s="29"/>
      <c r="PI1170" s="29"/>
      <c r="PJ1170" s="29"/>
      <c r="PK1170" s="29"/>
      <c r="PL1170" s="29"/>
      <c r="PM1170" s="29"/>
      <c r="PN1170" s="29"/>
      <c r="PO1170" s="29"/>
      <c r="PP1170" s="29"/>
      <c r="PQ1170" s="29"/>
      <c r="PR1170" s="29"/>
      <c r="PS1170" s="29"/>
      <c r="PT1170" s="29"/>
      <c r="PU1170" s="29"/>
      <c r="PV1170" s="29"/>
      <c r="PW1170" s="29"/>
      <c r="PX1170" s="29"/>
      <c r="PY1170" s="29"/>
      <c r="PZ1170" s="29"/>
      <c r="QA1170" s="29"/>
      <c r="QB1170" s="29"/>
      <c r="QC1170" s="29"/>
      <c r="QD1170" s="29"/>
      <c r="QE1170" s="29"/>
      <c r="QF1170" s="29"/>
      <c r="QG1170" s="29"/>
      <c r="QH1170" s="29"/>
      <c r="QI1170" s="29"/>
      <c r="QJ1170" s="29"/>
      <c r="QK1170" s="29"/>
      <c r="QL1170" s="29"/>
      <c r="QM1170" s="29"/>
      <c r="QN1170" s="29"/>
      <c r="QO1170" s="29"/>
      <c r="QP1170" s="29"/>
      <c r="QQ1170" s="29"/>
      <c r="QR1170" s="29"/>
      <c r="QS1170" s="29"/>
      <c r="QT1170" s="29"/>
      <c r="QU1170" s="29"/>
      <c r="QV1170" s="29"/>
      <c r="QW1170" s="29"/>
      <c r="QX1170" s="29"/>
      <c r="QY1170" s="29"/>
      <c r="QZ1170" s="29"/>
      <c r="RA1170" s="29"/>
      <c r="RB1170" s="29"/>
      <c r="RC1170" s="29"/>
      <c r="RD1170" s="29"/>
      <c r="RE1170" s="29"/>
      <c r="RF1170" s="29"/>
      <c r="RG1170" s="29"/>
      <c r="RH1170" s="29"/>
      <c r="RI1170" s="29"/>
      <c r="RJ1170" s="29"/>
      <c r="RK1170" s="29"/>
      <c r="RL1170" s="29"/>
      <c r="RM1170" s="29"/>
      <c r="RN1170" s="29"/>
      <c r="RO1170" s="29"/>
      <c r="RP1170" s="29"/>
      <c r="RQ1170" s="29"/>
      <c r="RR1170" s="29"/>
      <c r="RS1170" s="29"/>
      <c r="RT1170" s="29"/>
      <c r="RU1170" s="29"/>
      <c r="RV1170" s="29"/>
      <c r="RW1170" s="29"/>
      <c r="RX1170" s="29"/>
      <c r="RY1170" s="29"/>
      <c r="RZ1170" s="29"/>
      <c r="SA1170" s="29"/>
      <c r="SB1170" s="29"/>
      <c r="SC1170" s="29"/>
      <c r="SD1170" s="29"/>
      <c r="SE1170" s="29"/>
      <c r="SF1170" s="29"/>
      <c r="SG1170" s="29"/>
      <c r="SH1170" s="29"/>
      <c r="SI1170" s="29"/>
      <c r="SJ1170" s="29"/>
      <c r="SK1170" s="29"/>
      <c r="SL1170" s="29"/>
      <c r="SM1170" s="29"/>
      <c r="SN1170" s="29"/>
      <c r="SO1170" s="29"/>
      <c r="SP1170" s="29"/>
      <c r="SQ1170" s="29"/>
      <c r="SR1170" s="29"/>
      <c r="SS1170" s="29"/>
      <c r="ST1170" s="29"/>
      <c r="SU1170" s="29"/>
      <c r="SV1170" s="29"/>
      <c r="SW1170" s="29"/>
      <c r="SX1170" s="29"/>
      <c r="SY1170" s="29"/>
      <c r="SZ1170" s="29"/>
      <c r="TA1170" s="29"/>
      <c r="TB1170" s="29"/>
      <c r="TC1170" s="29"/>
      <c r="TD1170" s="29"/>
      <c r="TE1170" s="29"/>
      <c r="TF1170" s="29"/>
      <c r="TG1170" s="29"/>
      <c r="TH1170" s="29"/>
      <c r="TI1170" s="29"/>
      <c r="TJ1170" s="29"/>
      <c r="TK1170" s="29"/>
      <c r="TL1170" s="29"/>
      <c r="TM1170" s="29"/>
      <c r="TN1170" s="29"/>
      <c r="TO1170" s="29"/>
      <c r="TP1170" s="29"/>
      <c r="TQ1170" s="29"/>
      <c r="TR1170" s="29"/>
      <c r="TS1170" s="29"/>
      <c r="TT1170" s="29"/>
      <c r="TU1170" s="29"/>
      <c r="TV1170" s="29"/>
      <c r="TW1170" s="29"/>
      <c r="TX1170" s="29"/>
      <c r="TY1170" s="29"/>
      <c r="TZ1170" s="29"/>
      <c r="UA1170" s="29"/>
      <c r="UB1170" s="29"/>
      <c r="UC1170" s="29"/>
      <c r="UD1170" s="29"/>
      <c r="UE1170" s="29"/>
      <c r="UF1170" s="29"/>
      <c r="UG1170" s="29"/>
      <c r="UH1170" s="29"/>
      <c r="UI1170" s="29"/>
      <c r="UJ1170" s="29"/>
      <c r="UK1170" s="29"/>
      <c r="UL1170" s="29"/>
      <c r="UM1170" s="29"/>
      <c r="UN1170" s="29"/>
      <c r="UO1170" s="29"/>
      <c r="UP1170" s="29"/>
      <c r="UQ1170" s="29"/>
      <c r="UR1170" s="29"/>
      <c r="US1170" s="29"/>
      <c r="UT1170" s="29"/>
      <c r="UU1170" s="29"/>
      <c r="UV1170" s="29"/>
      <c r="UW1170" s="29"/>
      <c r="UX1170" s="29"/>
      <c r="UY1170" s="29"/>
      <c r="UZ1170" s="29"/>
      <c r="VA1170" s="29"/>
      <c r="VB1170" s="29"/>
      <c r="VC1170" s="29"/>
      <c r="VD1170" s="29"/>
      <c r="VE1170" s="29"/>
      <c r="VF1170" s="29"/>
      <c r="VG1170" s="29"/>
      <c r="VH1170" s="29"/>
      <c r="VI1170" s="29"/>
      <c r="VJ1170" s="29"/>
      <c r="VK1170" s="29"/>
      <c r="VL1170" s="29"/>
      <c r="VM1170" s="29"/>
      <c r="VN1170" s="29"/>
      <c r="VO1170" s="29"/>
      <c r="VP1170" s="29"/>
      <c r="VQ1170" s="29"/>
      <c r="VR1170" s="29"/>
      <c r="VS1170" s="29"/>
      <c r="VT1170" s="29"/>
      <c r="VU1170" s="29"/>
      <c r="VV1170" s="29"/>
      <c r="VW1170" s="29"/>
      <c r="VX1170" s="29"/>
      <c r="VY1170" s="29"/>
      <c r="VZ1170" s="29"/>
      <c r="WA1170" s="29"/>
      <c r="WB1170" s="29"/>
    </row>
    <row r="1235" spans="1:600" x14ac:dyDescent="0.3">
      <c r="A1235" s="29"/>
      <c r="B1235" s="29"/>
      <c r="C1235" s="29"/>
      <c r="D1235" s="29"/>
      <c r="E1235" s="29"/>
      <c r="F1235" s="29"/>
      <c r="G1235" s="29"/>
      <c r="H1235" s="29"/>
      <c r="I1235" s="29"/>
      <c r="J1235" s="29"/>
      <c r="K1235" s="29"/>
      <c r="L1235" s="29"/>
      <c r="M1235" s="29"/>
      <c r="N1235" s="29"/>
      <c r="O1235" s="29"/>
      <c r="P1235" s="29"/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29"/>
      <c r="AB1235" s="29"/>
      <c r="AC1235" s="29"/>
      <c r="AD1235" s="29"/>
      <c r="AE1235" s="29"/>
      <c r="AF1235" s="29"/>
      <c r="AG1235" s="29"/>
      <c r="AH1235" s="29"/>
      <c r="AI1235" s="29"/>
      <c r="AJ1235" s="29"/>
      <c r="AK1235" s="29"/>
      <c r="AL1235" s="29"/>
      <c r="AM1235" s="29"/>
      <c r="AN1235" s="29"/>
      <c r="AO1235" s="29"/>
      <c r="AP1235" s="29"/>
      <c r="AQ1235" s="29"/>
      <c r="AR1235" s="29"/>
      <c r="AS1235" s="29"/>
      <c r="AT1235" s="29"/>
      <c r="AU1235" s="29"/>
      <c r="AV1235" s="29"/>
      <c r="AW1235" s="29"/>
      <c r="AX1235" s="29"/>
      <c r="AY1235" s="29"/>
      <c r="AZ1235" s="29"/>
      <c r="BA1235" s="29"/>
      <c r="BB1235" s="29"/>
      <c r="BC1235" s="29"/>
      <c r="BD1235" s="29"/>
      <c r="BE1235" s="29"/>
      <c r="BF1235" s="29"/>
      <c r="BG1235" s="29"/>
      <c r="BH1235" s="29"/>
      <c r="BI1235" s="29"/>
      <c r="BJ1235" s="29"/>
      <c r="BK1235" s="29"/>
      <c r="BL1235" s="29"/>
      <c r="BM1235" s="29"/>
      <c r="BN1235" s="29"/>
      <c r="BO1235" s="29"/>
      <c r="BP1235" s="29"/>
      <c r="BQ1235" s="29"/>
      <c r="BR1235" s="29"/>
      <c r="BS1235" s="29"/>
      <c r="BT1235" s="29"/>
      <c r="BU1235" s="29"/>
      <c r="BV1235" s="29"/>
      <c r="BW1235" s="29"/>
      <c r="BX1235" s="29"/>
      <c r="BY1235" s="29"/>
      <c r="BZ1235" s="29"/>
      <c r="CA1235" s="29"/>
      <c r="CB1235" s="29"/>
      <c r="CC1235" s="29"/>
      <c r="CD1235" s="29"/>
      <c r="CE1235" s="29"/>
      <c r="CF1235" s="29"/>
      <c r="CG1235" s="29"/>
      <c r="CH1235" s="29"/>
      <c r="CI1235" s="29"/>
      <c r="CJ1235" s="29"/>
      <c r="CK1235" s="29"/>
      <c r="CL1235" s="29"/>
      <c r="CM1235" s="29"/>
      <c r="CN1235" s="29"/>
      <c r="CO1235" s="29"/>
      <c r="CP1235" s="29"/>
      <c r="CQ1235" s="29"/>
      <c r="CR1235" s="29"/>
      <c r="CS1235" s="29"/>
      <c r="CT1235" s="29"/>
      <c r="CU1235" s="29"/>
      <c r="CV1235" s="29"/>
      <c r="CW1235" s="29"/>
      <c r="CX1235" s="29"/>
      <c r="CY1235" s="29"/>
      <c r="CZ1235" s="29"/>
      <c r="DA1235" s="29"/>
      <c r="DB1235" s="29"/>
      <c r="DC1235" s="29"/>
      <c r="DD1235" s="29"/>
      <c r="DE1235" s="29"/>
      <c r="DF1235" s="29"/>
      <c r="DG1235" s="29"/>
      <c r="DH1235" s="29"/>
      <c r="DI1235" s="29"/>
      <c r="DJ1235" s="29"/>
      <c r="DK1235" s="29"/>
      <c r="DL1235" s="29"/>
      <c r="DM1235" s="29"/>
      <c r="DN1235" s="29"/>
      <c r="DO1235" s="29"/>
      <c r="DP1235" s="29"/>
      <c r="DQ1235" s="29"/>
      <c r="DR1235" s="29"/>
      <c r="DS1235" s="29"/>
      <c r="DT1235" s="29"/>
      <c r="DU1235" s="29"/>
      <c r="DV1235" s="29"/>
      <c r="DW1235" s="29"/>
      <c r="DX1235" s="29"/>
      <c r="DY1235" s="29"/>
      <c r="DZ1235" s="29"/>
      <c r="EA1235" s="29"/>
      <c r="EB1235" s="29"/>
      <c r="EC1235" s="29"/>
      <c r="ED1235" s="29"/>
      <c r="EE1235" s="29"/>
      <c r="EF1235" s="29"/>
      <c r="EG1235" s="29"/>
      <c r="EH1235" s="29"/>
      <c r="EI1235" s="29"/>
      <c r="EJ1235" s="29"/>
      <c r="EK1235" s="29"/>
      <c r="EL1235" s="29"/>
      <c r="EM1235" s="29"/>
      <c r="EN1235" s="29"/>
      <c r="EO1235" s="29"/>
      <c r="EP1235" s="29"/>
      <c r="EQ1235" s="29"/>
      <c r="ER1235" s="29"/>
      <c r="ES1235" s="29"/>
      <c r="ET1235" s="29"/>
      <c r="EU1235" s="29"/>
      <c r="EV1235" s="29"/>
      <c r="EW1235" s="29"/>
      <c r="EX1235" s="29"/>
      <c r="EY1235" s="29"/>
      <c r="EZ1235" s="29"/>
      <c r="FA1235" s="29"/>
      <c r="FB1235" s="29"/>
      <c r="FC1235" s="29"/>
      <c r="FD1235" s="29"/>
      <c r="FE1235" s="29"/>
      <c r="FF1235" s="29"/>
      <c r="FG1235" s="29"/>
      <c r="FH1235" s="29"/>
      <c r="FI1235" s="29"/>
      <c r="FJ1235" s="29"/>
      <c r="FK1235" s="29"/>
      <c r="FL1235" s="29"/>
      <c r="FM1235" s="29"/>
      <c r="FN1235" s="29"/>
      <c r="FO1235" s="29"/>
      <c r="FP1235" s="29"/>
      <c r="FQ1235" s="29"/>
      <c r="FR1235" s="29"/>
      <c r="FS1235" s="29"/>
      <c r="FT1235" s="29"/>
      <c r="FU1235" s="29"/>
      <c r="FV1235" s="29"/>
      <c r="FW1235" s="29"/>
      <c r="FX1235" s="29"/>
      <c r="FY1235" s="29"/>
      <c r="FZ1235" s="29"/>
      <c r="GA1235" s="29"/>
      <c r="GB1235" s="29"/>
      <c r="GC1235" s="29"/>
      <c r="GD1235" s="29"/>
      <c r="GE1235" s="29"/>
      <c r="GF1235" s="29"/>
      <c r="GG1235" s="29"/>
      <c r="GH1235" s="29"/>
      <c r="GI1235" s="29"/>
      <c r="GJ1235" s="29"/>
      <c r="GK1235" s="29"/>
      <c r="GL1235" s="29"/>
      <c r="GM1235" s="29"/>
      <c r="GN1235" s="29"/>
      <c r="GO1235" s="29"/>
      <c r="GP1235" s="29"/>
      <c r="GQ1235" s="29"/>
      <c r="GR1235" s="29"/>
      <c r="GS1235" s="29"/>
      <c r="GT1235" s="29"/>
      <c r="GU1235" s="29"/>
      <c r="GV1235" s="29"/>
      <c r="GW1235" s="29"/>
      <c r="GX1235" s="29"/>
      <c r="GY1235" s="29"/>
      <c r="GZ1235" s="29"/>
      <c r="HA1235" s="29"/>
      <c r="HB1235" s="29"/>
      <c r="HC1235" s="29"/>
      <c r="HD1235" s="29"/>
      <c r="HE1235" s="29"/>
      <c r="HF1235" s="29"/>
      <c r="HG1235" s="29"/>
      <c r="HH1235" s="29"/>
      <c r="HI1235" s="29"/>
      <c r="HJ1235" s="29"/>
      <c r="HK1235" s="29"/>
      <c r="HL1235" s="29"/>
      <c r="HM1235" s="29"/>
      <c r="HN1235" s="29"/>
      <c r="HO1235" s="29"/>
      <c r="HP1235" s="29"/>
      <c r="HQ1235" s="29"/>
      <c r="HR1235" s="29"/>
      <c r="HS1235" s="29"/>
      <c r="HT1235" s="29"/>
      <c r="HU1235" s="29"/>
      <c r="HV1235" s="29"/>
      <c r="HW1235" s="29"/>
      <c r="HX1235" s="29"/>
      <c r="HY1235" s="29"/>
      <c r="HZ1235" s="29"/>
      <c r="IA1235" s="29"/>
      <c r="IB1235" s="29"/>
      <c r="IC1235" s="29"/>
      <c r="ID1235" s="29"/>
      <c r="IE1235" s="29"/>
      <c r="IF1235" s="29"/>
      <c r="IG1235" s="29"/>
      <c r="IH1235" s="29"/>
      <c r="II1235" s="29"/>
      <c r="IJ1235" s="29"/>
      <c r="IK1235" s="29"/>
      <c r="IL1235" s="29"/>
      <c r="IM1235" s="29"/>
      <c r="IN1235" s="29"/>
      <c r="IO1235" s="29"/>
      <c r="IP1235" s="29"/>
      <c r="IQ1235" s="29"/>
      <c r="IR1235" s="29"/>
      <c r="IS1235" s="29"/>
      <c r="IT1235" s="29"/>
      <c r="IU1235" s="29"/>
      <c r="IV1235" s="29"/>
      <c r="IW1235" s="29"/>
      <c r="IX1235" s="29"/>
      <c r="IY1235" s="29"/>
      <c r="IZ1235" s="29"/>
      <c r="JA1235" s="29"/>
      <c r="JB1235" s="29"/>
      <c r="JC1235" s="29"/>
      <c r="JD1235" s="29"/>
      <c r="JE1235" s="29"/>
      <c r="JF1235" s="29"/>
      <c r="JG1235" s="29"/>
      <c r="JH1235" s="29"/>
      <c r="JI1235" s="29"/>
      <c r="JJ1235" s="29"/>
      <c r="JK1235" s="29"/>
      <c r="JL1235" s="29"/>
      <c r="JM1235" s="29"/>
      <c r="JN1235" s="29"/>
      <c r="JO1235" s="29"/>
      <c r="JP1235" s="29"/>
      <c r="JQ1235" s="29"/>
      <c r="JR1235" s="29"/>
      <c r="JS1235" s="29"/>
      <c r="JT1235" s="29"/>
      <c r="JU1235" s="29"/>
      <c r="JV1235" s="29"/>
      <c r="JW1235" s="29"/>
      <c r="JX1235" s="29"/>
      <c r="JY1235" s="29"/>
      <c r="JZ1235" s="29"/>
      <c r="KA1235" s="29"/>
      <c r="KB1235" s="29"/>
      <c r="KC1235" s="29"/>
      <c r="KD1235" s="29"/>
      <c r="KE1235" s="29"/>
      <c r="KF1235" s="29"/>
      <c r="KG1235" s="29"/>
      <c r="KH1235" s="29"/>
      <c r="KI1235" s="29"/>
      <c r="KJ1235" s="29"/>
      <c r="KK1235" s="29"/>
      <c r="KL1235" s="29"/>
      <c r="KM1235" s="29"/>
      <c r="KN1235" s="29"/>
      <c r="KO1235" s="29"/>
      <c r="KP1235" s="29"/>
      <c r="KQ1235" s="29"/>
      <c r="KR1235" s="29"/>
      <c r="KS1235" s="29"/>
      <c r="KT1235" s="29"/>
      <c r="KU1235" s="29"/>
      <c r="KV1235" s="29"/>
      <c r="KW1235" s="29"/>
      <c r="KX1235" s="29"/>
      <c r="KY1235" s="29"/>
      <c r="KZ1235" s="29"/>
      <c r="LA1235" s="29"/>
      <c r="LB1235" s="29"/>
      <c r="LC1235" s="29"/>
      <c r="LD1235" s="29"/>
      <c r="LE1235" s="29"/>
      <c r="LF1235" s="29"/>
      <c r="LG1235" s="29"/>
      <c r="LH1235" s="29"/>
      <c r="LI1235" s="29"/>
      <c r="LJ1235" s="29"/>
      <c r="LK1235" s="29"/>
      <c r="LL1235" s="29"/>
      <c r="LM1235" s="29"/>
      <c r="LN1235" s="29"/>
      <c r="LO1235" s="29"/>
      <c r="LP1235" s="29"/>
      <c r="LQ1235" s="29"/>
      <c r="LR1235" s="29"/>
      <c r="LS1235" s="29"/>
      <c r="LT1235" s="29"/>
      <c r="LU1235" s="29"/>
      <c r="LV1235" s="29"/>
      <c r="LW1235" s="29"/>
      <c r="LX1235" s="29"/>
      <c r="LY1235" s="29"/>
      <c r="LZ1235" s="29"/>
      <c r="MA1235" s="29"/>
      <c r="MB1235" s="29"/>
      <c r="MC1235" s="29"/>
      <c r="MD1235" s="29"/>
      <c r="ME1235" s="29"/>
      <c r="MF1235" s="29"/>
      <c r="MG1235" s="29"/>
      <c r="MH1235" s="29"/>
      <c r="MI1235" s="29"/>
      <c r="MJ1235" s="29"/>
      <c r="MK1235" s="29"/>
      <c r="ML1235" s="29"/>
      <c r="MM1235" s="29"/>
      <c r="MN1235" s="29"/>
      <c r="MO1235" s="29"/>
      <c r="MP1235" s="29"/>
      <c r="MQ1235" s="29"/>
      <c r="MR1235" s="29"/>
      <c r="MS1235" s="29"/>
      <c r="MT1235" s="29"/>
      <c r="MU1235" s="29"/>
      <c r="MV1235" s="29"/>
      <c r="MW1235" s="29"/>
      <c r="MX1235" s="29"/>
      <c r="MY1235" s="29"/>
      <c r="MZ1235" s="29"/>
      <c r="NA1235" s="29"/>
      <c r="NB1235" s="29"/>
      <c r="NC1235" s="29"/>
      <c r="ND1235" s="29"/>
      <c r="NE1235" s="29"/>
      <c r="NF1235" s="29"/>
      <c r="NG1235" s="29"/>
      <c r="NH1235" s="29"/>
      <c r="NI1235" s="29"/>
      <c r="NJ1235" s="29"/>
      <c r="NK1235" s="29"/>
      <c r="NL1235" s="29"/>
      <c r="NM1235" s="29"/>
      <c r="NN1235" s="29"/>
      <c r="NO1235" s="29"/>
      <c r="NP1235" s="29"/>
      <c r="NQ1235" s="29"/>
      <c r="NR1235" s="29"/>
      <c r="NS1235" s="29"/>
      <c r="NT1235" s="29"/>
      <c r="NU1235" s="29"/>
      <c r="NV1235" s="29"/>
      <c r="NW1235" s="29"/>
      <c r="NX1235" s="29"/>
      <c r="NY1235" s="29"/>
      <c r="NZ1235" s="29"/>
      <c r="OA1235" s="29"/>
      <c r="OB1235" s="29"/>
      <c r="OC1235" s="29"/>
      <c r="OD1235" s="29"/>
      <c r="OE1235" s="29"/>
      <c r="OF1235" s="29"/>
      <c r="OG1235" s="29"/>
      <c r="OH1235" s="29"/>
      <c r="OI1235" s="29"/>
      <c r="OJ1235" s="29"/>
      <c r="OK1235" s="29"/>
      <c r="OL1235" s="29"/>
      <c r="OM1235" s="29"/>
      <c r="ON1235" s="29"/>
      <c r="OO1235" s="29"/>
      <c r="OP1235" s="29"/>
      <c r="OQ1235" s="29"/>
      <c r="OR1235" s="29"/>
      <c r="OS1235" s="29"/>
      <c r="OT1235" s="29"/>
      <c r="OU1235" s="29"/>
      <c r="OV1235" s="29"/>
      <c r="OW1235" s="29"/>
      <c r="OX1235" s="29"/>
      <c r="OY1235" s="29"/>
      <c r="OZ1235" s="29"/>
      <c r="PA1235" s="29"/>
      <c r="PB1235" s="29"/>
      <c r="PC1235" s="29"/>
      <c r="PD1235" s="29"/>
      <c r="PE1235" s="29"/>
      <c r="PF1235" s="29"/>
      <c r="PG1235" s="29"/>
      <c r="PH1235" s="29"/>
      <c r="PI1235" s="29"/>
      <c r="PJ1235" s="29"/>
      <c r="PK1235" s="29"/>
      <c r="PL1235" s="29"/>
      <c r="PM1235" s="29"/>
      <c r="PN1235" s="29"/>
      <c r="PO1235" s="29"/>
      <c r="PP1235" s="29"/>
      <c r="PQ1235" s="29"/>
      <c r="PR1235" s="29"/>
      <c r="PS1235" s="29"/>
      <c r="PT1235" s="29"/>
      <c r="PU1235" s="29"/>
      <c r="PV1235" s="29"/>
      <c r="PW1235" s="29"/>
      <c r="PX1235" s="29"/>
      <c r="PY1235" s="29"/>
      <c r="PZ1235" s="29"/>
      <c r="QA1235" s="29"/>
      <c r="QB1235" s="29"/>
      <c r="QC1235" s="29"/>
      <c r="QD1235" s="29"/>
      <c r="QE1235" s="29"/>
      <c r="QF1235" s="29"/>
      <c r="QG1235" s="29"/>
      <c r="QH1235" s="29"/>
      <c r="QI1235" s="29"/>
      <c r="QJ1235" s="29"/>
      <c r="QK1235" s="29"/>
      <c r="QL1235" s="29"/>
      <c r="QM1235" s="29"/>
      <c r="QN1235" s="29"/>
      <c r="QO1235" s="29"/>
      <c r="QP1235" s="29"/>
      <c r="QQ1235" s="29"/>
      <c r="QR1235" s="29"/>
      <c r="QS1235" s="29"/>
      <c r="QT1235" s="29"/>
      <c r="QU1235" s="29"/>
      <c r="QV1235" s="29"/>
      <c r="QW1235" s="29"/>
      <c r="QX1235" s="29"/>
      <c r="QY1235" s="29"/>
      <c r="QZ1235" s="29"/>
      <c r="RA1235" s="29"/>
      <c r="RB1235" s="29"/>
      <c r="RC1235" s="29"/>
      <c r="RD1235" s="29"/>
      <c r="RE1235" s="29"/>
      <c r="RF1235" s="29"/>
      <c r="RG1235" s="29"/>
      <c r="RH1235" s="29"/>
      <c r="RI1235" s="29"/>
      <c r="RJ1235" s="29"/>
      <c r="RK1235" s="29"/>
      <c r="RL1235" s="29"/>
      <c r="RM1235" s="29"/>
      <c r="RN1235" s="29"/>
      <c r="RO1235" s="29"/>
      <c r="RP1235" s="29"/>
      <c r="RQ1235" s="29"/>
      <c r="RR1235" s="29"/>
      <c r="RS1235" s="29"/>
      <c r="RT1235" s="29"/>
      <c r="RU1235" s="29"/>
      <c r="RV1235" s="29"/>
      <c r="RW1235" s="29"/>
      <c r="RX1235" s="29"/>
      <c r="RY1235" s="29"/>
      <c r="RZ1235" s="29"/>
      <c r="SA1235" s="29"/>
      <c r="SB1235" s="29"/>
      <c r="SC1235" s="29"/>
      <c r="SD1235" s="29"/>
      <c r="SE1235" s="29"/>
      <c r="SF1235" s="29"/>
      <c r="SG1235" s="29"/>
      <c r="SH1235" s="29"/>
      <c r="SI1235" s="29"/>
      <c r="SJ1235" s="29"/>
      <c r="SK1235" s="29"/>
      <c r="SL1235" s="29"/>
      <c r="SM1235" s="29"/>
      <c r="SN1235" s="29"/>
      <c r="SO1235" s="29"/>
      <c r="SP1235" s="29"/>
      <c r="SQ1235" s="29"/>
      <c r="SR1235" s="29"/>
      <c r="SS1235" s="29"/>
      <c r="ST1235" s="29"/>
      <c r="SU1235" s="29"/>
      <c r="SV1235" s="29"/>
      <c r="SW1235" s="29"/>
      <c r="SX1235" s="29"/>
      <c r="SY1235" s="29"/>
      <c r="SZ1235" s="29"/>
      <c r="TA1235" s="29"/>
      <c r="TB1235" s="29"/>
      <c r="TC1235" s="29"/>
      <c r="TD1235" s="29"/>
      <c r="TE1235" s="29"/>
      <c r="TF1235" s="29"/>
      <c r="TG1235" s="29"/>
      <c r="TH1235" s="29"/>
      <c r="TI1235" s="29"/>
      <c r="TJ1235" s="29"/>
      <c r="TK1235" s="29"/>
      <c r="TL1235" s="29"/>
      <c r="TM1235" s="29"/>
      <c r="TN1235" s="29"/>
      <c r="TO1235" s="29"/>
      <c r="TP1235" s="29"/>
      <c r="TQ1235" s="29"/>
      <c r="TR1235" s="29"/>
      <c r="TS1235" s="29"/>
      <c r="TT1235" s="29"/>
      <c r="TU1235" s="29"/>
      <c r="TV1235" s="29"/>
      <c r="TW1235" s="29"/>
      <c r="TX1235" s="29"/>
      <c r="TY1235" s="29"/>
      <c r="TZ1235" s="29"/>
      <c r="UA1235" s="29"/>
      <c r="UB1235" s="29"/>
      <c r="UC1235" s="29"/>
      <c r="UD1235" s="29"/>
      <c r="UE1235" s="29"/>
      <c r="UF1235" s="29"/>
      <c r="UG1235" s="29"/>
      <c r="UH1235" s="29"/>
      <c r="UI1235" s="29"/>
      <c r="UJ1235" s="29"/>
      <c r="UK1235" s="29"/>
      <c r="UL1235" s="29"/>
      <c r="UM1235" s="29"/>
      <c r="UN1235" s="29"/>
      <c r="UO1235" s="29"/>
      <c r="UP1235" s="29"/>
      <c r="UQ1235" s="29"/>
      <c r="UR1235" s="29"/>
      <c r="US1235" s="29"/>
      <c r="UT1235" s="29"/>
      <c r="UU1235" s="29"/>
      <c r="UV1235" s="29"/>
      <c r="UW1235" s="29"/>
      <c r="UX1235" s="29"/>
      <c r="UY1235" s="29"/>
      <c r="UZ1235" s="29"/>
      <c r="VA1235" s="29"/>
      <c r="VB1235" s="29"/>
      <c r="VC1235" s="29"/>
      <c r="VD1235" s="29"/>
      <c r="VE1235" s="29"/>
      <c r="VF1235" s="29"/>
      <c r="VG1235" s="29"/>
      <c r="VH1235" s="29"/>
      <c r="VI1235" s="29"/>
      <c r="VJ1235" s="29"/>
      <c r="VK1235" s="29"/>
      <c r="VL1235" s="29"/>
      <c r="VM1235" s="29"/>
      <c r="VN1235" s="29"/>
      <c r="VO1235" s="29"/>
      <c r="VP1235" s="29"/>
      <c r="VQ1235" s="29"/>
      <c r="VR1235" s="29"/>
      <c r="VS1235" s="29"/>
      <c r="VT1235" s="29"/>
      <c r="VU1235" s="29"/>
      <c r="VV1235" s="29"/>
      <c r="VW1235" s="29"/>
      <c r="VX1235" s="29"/>
      <c r="VY1235" s="29"/>
      <c r="VZ1235" s="29"/>
      <c r="WA1235" s="29"/>
      <c r="WB1235" s="29"/>
    </row>
    <row r="1300" spans="1:600" x14ac:dyDescent="0.3">
      <c r="A1300" s="29"/>
      <c r="B1300" s="29"/>
      <c r="C1300" s="29"/>
      <c r="D1300" s="29"/>
      <c r="E1300" s="29"/>
      <c r="F1300" s="29"/>
      <c r="G1300" s="29"/>
      <c r="H1300" s="29"/>
      <c r="I1300" s="29"/>
      <c r="J1300" s="29"/>
      <c r="K1300" s="29"/>
      <c r="L1300" s="29"/>
      <c r="M1300" s="29"/>
      <c r="N1300" s="29"/>
      <c r="O1300" s="29"/>
      <c r="P1300" s="29"/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29"/>
      <c r="AB1300" s="29"/>
      <c r="AC1300" s="29"/>
      <c r="AD1300" s="29"/>
      <c r="AE1300" s="29"/>
      <c r="AF1300" s="29"/>
      <c r="AG1300" s="29"/>
      <c r="AH1300" s="29"/>
      <c r="AI1300" s="29"/>
      <c r="AJ1300" s="29"/>
      <c r="AK1300" s="29"/>
      <c r="AL1300" s="29"/>
      <c r="AM1300" s="29"/>
      <c r="AN1300" s="29"/>
      <c r="AO1300" s="29"/>
      <c r="AP1300" s="29"/>
      <c r="AQ1300" s="29"/>
      <c r="AR1300" s="29"/>
      <c r="AS1300" s="29"/>
      <c r="AT1300" s="29"/>
      <c r="AU1300" s="29"/>
      <c r="AV1300" s="29"/>
      <c r="AW1300" s="29"/>
      <c r="AX1300" s="29"/>
      <c r="AY1300" s="29"/>
      <c r="AZ1300" s="29"/>
      <c r="BA1300" s="29"/>
      <c r="BB1300" s="29"/>
      <c r="BC1300" s="29"/>
      <c r="BD1300" s="29"/>
      <c r="BE1300" s="29"/>
      <c r="BF1300" s="29"/>
      <c r="BG1300" s="29"/>
      <c r="BH1300" s="29"/>
      <c r="BI1300" s="29"/>
      <c r="BJ1300" s="29"/>
      <c r="BK1300" s="29"/>
      <c r="BL1300" s="29"/>
      <c r="BM1300" s="29"/>
      <c r="BN1300" s="29"/>
      <c r="BO1300" s="29"/>
      <c r="BP1300" s="29"/>
      <c r="BQ1300" s="29"/>
      <c r="BR1300" s="29"/>
      <c r="BS1300" s="29"/>
      <c r="BT1300" s="29"/>
      <c r="BU1300" s="29"/>
      <c r="BV1300" s="29"/>
      <c r="BW1300" s="29"/>
      <c r="BX1300" s="29"/>
      <c r="BY1300" s="29"/>
      <c r="BZ1300" s="29"/>
      <c r="CA1300" s="29"/>
      <c r="CB1300" s="29"/>
      <c r="CC1300" s="29"/>
      <c r="CD1300" s="29"/>
      <c r="CE1300" s="29"/>
      <c r="CF1300" s="29"/>
      <c r="CG1300" s="29"/>
      <c r="CH1300" s="29"/>
      <c r="CI1300" s="29"/>
      <c r="CJ1300" s="29"/>
      <c r="CK1300" s="29"/>
      <c r="CL1300" s="29"/>
      <c r="CM1300" s="29"/>
      <c r="CN1300" s="29"/>
      <c r="CO1300" s="29"/>
      <c r="CP1300" s="29"/>
      <c r="CQ1300" s="29"/>
      <c r="CR1300" s="29"/>
      <c r="CS1300" s="29"/>
      <c r="CT1300" s="29"/>
      <c r="CU1300" s="29"/>
      <c r="CV1300" s="29"/>
      <c r="CW1300" s="29"/>
      <c r="CX1300" s="29"/>
      <c r="CY1300" s="29"/>
      <c r="CZ1300" s="29"/>
      <c r="DA1300" s="29"/>
      <c r="DB1300" s="29"/>
      <c r="DC1300" s="29"/>
      <c r="DD1300" s="29"/>
      <c r="DE1300" s="29"/>
      <c r="DF1300" s="29"/>
      <c r="DG1300" s="29"/>
      <c r="DH1300" s="29"/>
      <c r="DI1300" s="29"/>
      <c r="DJ1300" s="29"/>
      <c r="DK1300" s="29"/>
      <c r="DL1300" s="29"/>
      <c r="DM1300" s="29"/>
      <c r="DN1300" s="29"/>
      <c r="DO1300" s="29"/>
      <c r="DP1300" s="29"/>
      <c r="DQ1300" s="29"/>
      <c r="DR1300" s="29"/>
      <c r="DS1300" s="29"/>
      <c r="DT1300" s="29"/>
      <c r="DU1300" s="29"/>
      <c r="DV1300" s="29"/>
      <c r="DW1300" s="29"/>
      <c r="DX1300" s="29"/>
      <c r="DY1300" s="29"/>
      <c r="DZ1300" s="29"/>
      <c r="EA1300" s="29"/>
      <c r="EB1300" s="29"/>
      <c r="EC1300" s="29"/>
      <c r="ED1300" s="29"/>
      <c r="EE1300" s="29"/>
      <c r="EF1300" s="29"/>
      <c r="EG1300" s="29"/>
      <c r="EH1300" s="29"/>
      <c r="EI1300" s="29"/>
      <c r="EJ1300" s="29"/>
      <c r="EK1300" s="29"/>
      <c r="EL1300" s="29"/>
      <c r="EM1300" s="29"/>
      <c r="EN1300" s="29"/>
      <c r="EO1300" s="29"/>
      <c r="EP1300" s="29"/>
      <c r="EQ1300" s="29"/>
      <c r="ER1300" s="29"/>
      <c r="ES1300" s="29"/>
      <c r="ET1300" s="29"/>
      <c r="EU1300" s="29"/>
      <c r="EV1300" s="29"/>
      <c r="EW1300" s="29"/>
      <c r="EX1300" s="29"/>
      <c r="EY1300" s="29"/>
      <c r="EZ1300" s="29"/>
      <c r="FA1300" s="29"/>
      <c r="FB1300" s="29"/>
      <c r="FC1300" s="29"/>
      <c r="FD1300" s="29"/>
      <c r="FE1300" s="29"/>
      <c r="FF1300" s="29"/>
      <c r="FG1300" s="29"/>
      <c r="FH1300" s="29"/>
      <c r="FI1300" s="29"/>
      <c r="FJ1300" s="29"/>
      <c r="FK1300" s="29"/>
      <c r="FL1300" s="29"/>
      <c r="FM1300" s="29"/>
      <c r="FN1300" s="29"/>
      <c r="FO1300" s="29"/>
      <c r="FP1300" s="29"/>
      <c r="FQ1300" s="29"/>
      <c r="FR1300" s="29"/>
      <c r="FS1300" s="29"/>
      <c r="FT1300" s="29"/>
      <c r="FU1300" s="29"/>
      <c r="FV1300" s="29"/>
      <c r="FW1300" s="29"/>
      <c r="FX1300" s="29"/>
      <c r="FY1300" s="29"/>
      <c r="FZ1300" s="29"/>
      <c r="GA1300" s="29"/>
      <c r="GB1300" s="29"/>
      <c r="GC1300" s="29"/>
      <c r="GD1300" s="29"/>
      <c r="GE1300" s="29"/>
      <c r="GF1300" s="29"/>
      <c r="GG1300" s="29"/>
      <c r="GH1300" s="29"/>
      <c r="GI1300" s="29"/>
      <c r="GJ1300" s="29"/>
      <c r="GK1300" s="29"/>
      <c r="GL1300" s="29"/>
      <c r="GM1300" s="29"/>
      <c r="GN1300" s="29"/>
      <c r="GO1300" s="29"/>
      <c r="GP1300" s="29"/>
      <c r="GQ1300" s="29"/>
      <c r="GR1300" s="29"/>
      <c r="GS1300" s="29"/>
      <c r="GT1300" s="29"/>
      <c r="GU1300" s="29"/>
      <c r="GV1300" s="29"/>
      <c r="GW1300" s="29"/>
      <c r="GX1300" s="29"/>
      <c r="GY1300" s="29"/>
      <c r="GZ1300" s="29"/>
      <c r="HA1300" s="29"/>
      <c r="HB1300" s="29"/>
      <c r="HC1300" s="29"/>
      <c r="HD1300" s="29"/>
      <c r="HE1300" s="29"/>
      <c r="HF1300" s="29"/>
      <c r="HG1300" s="29"/>
      <c r="HH1300" s="29"/>
      <c r="HI1300" s="29"/>
      <c r="HJ1300" s="29"/>
      <c r="HK1300" s="29"/>
      <c r="HL1300" s="29"/>
      <c r="HM1300" s="29"/>
      <c r="HN1300" s="29"/>
      <c r="HO1300" s="29"/>
      <c r="HP1300" s="29"/>
      <c r="HQ1300" s="29"/>
      <c r="HR1300" s="29"/>
      <c r="HS1300" s="29"/>
      <c r="HT1300" s="29"/>
      <c r="HU1300" s="29"/>
      <c r="HV1300" s="29"/>
      <c r="HW1300" s="29"/>
      <c r="HX1300" s="29"/>
      <c r="HY1300" s="29"/>
      <c r="HZ1300" s="29"/>
      <c r="IA1300" s="29"/>
      <c r="IB1300" s="29"/>
      <c r="IC1300" s="29"/>
      <c r="ID1300" s="29"/>
      <c r="IE1300" s="29"/>
      <c r="IF1300" s="29"/>
      <c r="IG1300" s="29"/>
      <c r="IH1300" s="29"/>
      <c r="II1300" s="29"/>
      <c r="IJ1300" s="29"/>
      <c r="IK1300" s="29"/>
      <c r="IL1300" s="29"/>
      <c r="IM1300" s="29"/>
      <c r="IN1300" s="29"/>
      <c r="IO1300" s="29"/>
      <c r="IP1300" s="29"/>
      <c r="IQ1300" s="29"/>
      <c r="IR1300" s="29"/>
      <c r="IS1300" s="29"/>
      <c r="IT1300" s="29"/>
      <c r="IU1300" s="29"/>
      <c r="IV1300" s="29"/>
      <c r="IW1300" s="29"/>
      <c r="IX1300" s="29"/>
      <c r="IY1300" s="29"/>
      <c r="IZ1300" s="29"/>
      <c r="JA1300" s="29"/>
      <c r="JB1300" s="29"/>
      <c r="JC1300" s="29"/>
      <c r="JD1300" s="29"/>
      <c r="JE1300" s="29"/>
      <c r="JF1300" s="29"/>
      <c r="JG1300" s="29"/>
      <c r="JH1300" s="29"/>
      <c r="JI1300" s="29"/>
      <c r="JJ1300" s="29"/>
      <c r="JK1300" s="29"/>
      <c r="JL1300" s="29"/>
      <c r="JM1300" s="29"/>
      <c r="JN1300" s="29"/>
      <c r="JO1300" s="29"/>
      <c r="JP1300" s="29"/>
      <c r="JQ1300" s="29"/>
      <c r="JR1300" s="29"/>
      <c r="JS1300" s="29"/>
      <c r="JT1300" s="29"/>
      <c r="JU1300" s="29"/>
      <c r="JV1300" s="29"/>
      <c r="JW1300" s="29"/>
      <c r="JX1300" s="29"/>
      <c r="JY1300" s="29"/>
      <c r="JZ1300" s="29"/>
      <c r="KA1300" s="29"/>
      <c r="KB1300" s="29"/>
      <c r="KC1300" s="29"/>
      <c r="KD1300" s="29"/>
      <c r="KE1300" s="29"/>
      <c r="KF1300" s="29"/>
      <c r="KG1300" s="29"/>
      <c r="KH1300" s="29"/>
      <c r="KI1300" s="29"/>
      <c r="KJ1300" s="29"/>
      <c r="KK1300" s="29"/>
      <c r="KL1300" s="29"/>
      <c r="KM1300" s="29"/>
      <c r="KN1300" s="29"/>
      <c r="KO1300" s="29"/>
      <c r="KP1300" s="29"/>
      <c r="KQ1300" s="29"/>
      <c r="KR1300" s="29"/>
      <c r="KS1300" s="29"/>
      <c r="KT1300" s="29"/>
      <c r="KU1300" s="29"/>
      <c r="KV1300" s="29"/>
      <c r="KW1300" s="29"/>
      <c r="KX1300" s="29"/>
      <c r="KY1300" s="29"/>
      <c r="KZ1300" s="29"/>
      <c r="LA1300" s="29"/>
      <c r="LB1300" s="29"/>
      <c r="LC1300" s="29"/>
      <c r="LD1300" s="29"/>
      <c r="LE1300" s="29"/>
      <c r="LF1300" s="29"/>
      <c r="LG1300" s="29"/>
      <c r="LH1300" s="29"/>
      <c r="LI1300" s="29"/>
      <c r="LJ1300" s="29"/>
      <c r="LK1300" s="29"/>
      <c r="LL1300" s="29"/>
      <c r="LM1300" s="29"/>
      <c r="LN1300" s="29"/>
      <c r="LO1300" s="29"/>
      <c r="LP1300" s="29"/>
      <c r="LQ1300" s="29"/>
      <c r="LR1300" s="29"/>
      <c r="LS1300" s="29"/>
      <c r="LT1300" s="29"/>
      <c r="LU1300" s="29"/>
      <c r="LV1300" s="29"/>
      <c r="LW1300" s="29"/>
      <c r="LX1300" s="29"/>
      <c r="LY1300" s="29"/>
      <c r="LZ1300" s="29"/>
      <c r="MA1300" s="29"/>
      <c r="MB1300" s="29"/>
      <c r="MC1300" s="29"/>
      <c r="MD1300" s="29"/>
      <c r="ME1300" s="29"/>
      <c r="MF1300" s="29"/>
      <c r="MG1300" s="29"/>
      <c r="MH1300" s="29"/>
      <c r="MI1300" s="29"/>
      <c r="MJ1300" s="29"/>
      <c r="MK1300" s="29"/>
      <c r="ML1300" s="29"/>
      <c r="MM1300" s="29"/>
      <c r="MN1300" s="29"/>
      <c r="MO1300" s="29"/>
      <c r="MP1300" s="29"/>
      <c r="MQ1300" s="29"/>
      <c r="MR1300" s="29"/>
      <c r="MS1300" s="29"/>
      <c r="MT1300" s="29"/>
      <c r="MU1300" s="29"/>
      <c r="MV1300" s="29"/>
      <c r="MW1300" s="29"/>
      <c r="MX1300" s="29"/>
      <c r="MY1300" s="29"/>
      <c r="MZ1300" s="29"/>
      <c r="NA1300" s="29"/>
      <c r="NB1300" s="29"/>
      <c r="NC1300" s="29"/>
      <c r="ND1300" s="29"/>
      <c r="NE1300" s="29"/>
      <c r="NF1300" s="29"/>
      <c r="NG1300" s="29"/>
      <c r="NH1300" s="29"/>
      <c r="NI1300" s="29"/>
      <c r="NJ1300" s="29"/>
      <c r="NK1300" s="29"/>
      <c r="NL1300" s="29"/>
      <c r="NM1300" s="29"/>
      <c r="NN1300" s="29"/>
      <c r="NO1300" s="29"/>
      <c r="NP1300" s="29"/>
      <c r="NQ1300" s="29"/>
      <c r="NR1300" s="29"/>
      <c r="NS1300" s="29"/>
      <c r="NT1300" s="29"/>
      <c r="NU1300" s="29"/>
      <c r="NV1300" s="29"/>
      <c r="NW1300" s="29"/>
      <c r="NX1300" s="29"/>
      <c r="NY1300" s="29"/>
      <c r="NZ1300" s="29"/>
      <c r="OA1300" s="29"/>
      <c r="OB1300" s="29"/>
      <c r="OC1300" s="29"/>
      <c r="OD1300" s="29"/>
      <c r="OE1300" s="29"/>
      <c r="OF1300" s="29"/>
      <c r="OG1300" s="29"/>
      <c r="OH1300" s="29"/>
      <c r="OI1300" s="29"/>
      <c r="OJ1300" s="29"/>
      <c r="OK1300" s="29"/>
      <c r="OL1300" s="29"/>
      <c r="OM1300" s="29"/>
      <c r="ON1300" s="29"/>
      <c r="OO1300" s="29"/>
      <c r="OP1300" s="29"/>
      <c r="OQ1300" s="29"/>
      <c r="OR1300" s="29"/>
      <c r="OS1300" s="29"/>
      <c r="OT1300" s="29"/>
      <c r="OU1300" s="29"/>
      <c r="OV1300" s="29"/>
      <c r="OW1300" s="29"/>
      <c r="OX1300" s="29"/>
      <c r="OY1300" s="29"/>
      <c r="OZ1300" s="29"/>
      <c r="PA1300" s="29"/>
      <c r="PB1300" s="29"/>
      <c r="PC1300" s="29"/>
      <c r="PD1300" s="29"/>
      <c r="PE1300" s="29"/>
      <c r="PF1300" s="29"/>
      <c r="PG1300" s="29"/>
      <c r="PH1300" s="29"/>
      <c r="PI1300" s="29"/>
      <c r="PJ1300" s="29"/>
      <c r="PK1300" s="29"/>
      <c r="PL1300" s="29"/>
      <c r="PM1300" s="29"/>
      <c r="PN1300" s="29"/>
      <c r="PO1300" s="29"/>
      <c r="PP1300" s="29"/>
      <c r="PQ1300" s="29"/>
      <c r="PR1300" s="29"/>
      <c r="PS1300" s="29"/>
      <c r="PT1300" s="29"/>
      <c r="PU1300" s="29"/>
      <c r="PV1300" s="29"/>
      <c r="PW1300" s="29"/>
      <c r="PX1300" s="29"/>
      <c r="PY1300" s="29"/>
      <c r="PZ1300" s="29"/>
      <c r="QA1300" s="29"/>
      <c r="QB1300" s="29"/>
      <c r="QC1300" s="29"/>
      <c r="QD1300" s="29"/>
      <c r="QE1300" s="29"/>
      <c r="QF1300" s="29"/>
      <c r="QG1300" s="29"/>
      <c r="QH1300" s="29"/>
      <c r="QI1300" s="29"/>
      <c r="QJ1300" s="29"/>
      <c r="QK1300" s="29"/>
      <c r="QL1300" s="29"/>
      <c r="QM1300" s="29"/>
      <c r="QN1300" s="29"/>
      <c r="QO1300" s="29"/>
      <c r="QP1300" s="29"/>
      <c r="QQ1300" s="29"/>
      <c r="QR1300" s="29"/>
      <c r="QS1300" s="29"/>
      <c r="QT1300" s="29"/>
      <c r="QU1300" s="29"/>
      <c r="QV1300" s="29"/>
      <c r="QW1300" s="29"/>
      <c r="QX1300" s="29"/>
      <c r="QY1300" s="29"/>
      <c r="QZ1300" s="29"/>
      <c r="RA1300" s="29"/>
      <c r="RB1300" s="29"/>
      <c r="RC1300" s="29"/>
      <c r="RD1300" s="29"/>
      <c r="RE1300" s="29"/>
      <c r="RF1300" s="29"/>
      <c r="RG1300" s="29"/>
      <c r="RH1300" s="29"/>
      <c r="RI1300" s="29"/>
      <c r="RJ1300" s="29"/>
      <c r="RK1300" s="29"/>
      <c r="RL1300" s="29"/>
      <c r="RM1300" s="29"/>
      <c r="RN1300" s="29"/>
      <c r="RO1300" s="29"/>
      <c r="RP1300" s="29"/>
      <c r="RQ1300" s="29"/>
      <c r="RR1300" s="29"/>
      <c r="RS1300" s="29"/>
      <c r="RT1300" s="29"/>
      <c r="RU1300" s="29"/>
      <c r="RV1300" s="29"/>
      <c r="RW1300" s="29"/>
      <c r="RX1300" s="29"/>
      <c r="RY1300" s="29"/>
      <c r="RZ1300" s="29"/>
      <c r="SA1300" s="29"/>
      <c r="SB1300" s="29"/>
      <c r="SC1300" s="29"/>
      <c r="SD1300" s="29"/>
      <c r="SE1300" s="29"/>
      <c r="SF1300" s="29"/>
      <c r="SG1300" s="29"/>
      <c r="SH1300" s="29"/>
      <c r="SI1300" s="29"/>
      <c r="SJ1300" s="29"/>
      <c r="SK1300" s="29"/>
      <c r="SL1300" s="29"/>
      <c r="SM1300" s="29"/>
      <c r="SN1300" s="29"/>
      <c r="SO1300" s="29"/>
      <c r="SP1300" s="29"/>
      <c r="SQ1300" s="29"/>
      <c r="SR1300" s="29"/>
      <c r="SS1300" s="29"/>
      <c r="ST1300" s="29"/>
      <c r="SU1300" s="29"/>
      <c r="SV1300" s="29"/>
      <c r="SW1300" s="29"/>
      <c r="SX1300" s="29"/>
      <c r="SY1300" s="29"/>
      <c r="SZ1300" s="29"/>
      <c r="TA1300" s="29"/>
      <c r="TB1300" s="29"/>
      <c r="TC1300" s="29"/>
      <c r="TD1300" s="29"/>
      <c r="TE1300" s="29"/>
      <c r="TF1300" s="29"/>
      <c r="TG1300" s="29"/>
      <c r="TH1300" s="29"/>
      <c r="TI1300" s="29"/>
      <c r="TJ1300" s="29"/>
      <c r="TK1300" s="29"/>
      <c r="TL1300" s="29"/>
      <c r="TM1300" s="29"/>
      <c r="TN1300" s="29"/>
      <c r="TO1300" s="29"/>
      <c r="TP1300" s="29"/>
      <c r="TQ1300" s="29"/>
      <c r="TR1300" s="29"/>
      <c r="TS1300" s="29"/>
      <c r="TT1300" s="29"/>
      <c r="TU1300" s="29"/>
      <c r="TV1300" s="29"/>
      <c r="TW1300" s="29"/>
      <c r="TX1300" s="29"/>
      <c r="TY1300" s="29"/>
      <c r="TZ1300" s="29"/>
      <c r="UA1300" s="29"/>
      <c r="UB1300" s="29"/>
      <c r="UC1300" s="29"/>
      <c r="UD1300" s="29"/>
      <c r="UE1300" s="29"/>
      <c r="UF1300" s="29"/>
      <c r="UG1300" s="29"/>
      <c r="UH1300" s="29"/>
      <c r="UI1300" s="29"/>
      <c r="UJ1300" s="29"/>
      <c r="UK1300" s="29"/>
      <c r="UL1300" s="29"/>
      <c r="UM1300" s="29"/>
      <c r="UN1300" s="29"/>
      <c r="UO1300" s="29"/>
      <c r="UP1300" s="29"/>
      <c r="UQ1300" s="29"/>
      <c r="UR1300" s="29"/>
      <c r="US1300" s="29"/>
      <c r="UT1300" s="29"/>
      <c r="UU1300" s="29"/>
      <c r="UV1300" s="29"/>
      <c r="UW1300" s="29"/>
      <c r="UX1300" s="29"/>
      <c r="UY1300" s="29"/>
      <c r="UZ1300" s="29"/>
      <c r="VA1300" s="29"/>
      <c r="VB1300" s="29"/>
      <c r="VC1300" s="29"/>
      <c r="VD1300" s="29"/>
      <c r="VE1300" s="29"/>
      <c r="VF1300" s="29"/>
      <c r="VG1300" s="29"/>
      <c r="VH1300" s="29"/>
      <c r="VI1300" s="29"/>
      <c r="VJ1300" s="29"/>
      <c r="VK1300" s="29"/>
      <c r="VL1300" s="29"/>
      <c r="VM1300" s="29"/>
      <c r="VN1300" s="29"/>
      <c r="VO1300" s="29"/>
      <c r="VP1300" s="29"/>
      <c r="VQ1300" s="29"/>
      <c r="VR1300" s="29"/>
      <c r="VS1300" s="29"/>
      <c r="VT1300" s="29"/>
      <c r="VU1300" s="29"/>
      <c r="VV1300" s="29"/>
      <c r="VW1300" s="29"/>
      <c r="VX1300" s="29"/>
      <c r="VY1300" s="29"/>
      <c r="VZ1300" s="29"/>
      <c r="WA1300" s="29"/>
      <c r="WB1300" s="29"/>
    </row>
    <row r="1365" spans="1:600" x14ac:dyDescent="0.3">
      <c r="A1365" s="29"/>
      <c r="B1365" s="29"/>
      <c r="C1365" s="29"/>
      <c r="D1365" s="29"/>
      <c r="E1365" s="29"/>
      <c r="F1365" s="29"/>
      <c r="G1365" s="29"/>
      <c r="H1365" s="29"/>
      <c r="I1365" s="29"/>
      <c r="J1365" s="29"/>
      <c r="K1365" s="29"/>
      <c r="L1365" s="29"/>
      <c r="M1365" s="29"/>
      <c r="N1365" s="29"/>
      <c r="O1365" s="29"/>
      <c r="P1365" s="29"/>
      <c r="Q1365" s="29"/>
      <c r="R1365" s="29"/>
      <c r="S1365" s="29"/>
      <c r="T1365" s="29"/>
      <c r="U1365" s="29"/>
      <c r="V1365" s="29"/>
      <c r="W1365" s="29"/>
      <c r="X1365" s="29"/>
      <c r="Y1365" s="29"/>
      <c r="Z1365" s="29"/>
      <c r="AA1365" s="29"/>
      <c r="AB1365" s="29"/>
      <c r="AC1365" s="29"/>
      <c r="AD1365" s="29"/>
      <c r="AE1365" s="29"/>
      <c r="AF1365" s="29"/>
      <c r="AG1365" s="29"/>
      <c r="AH1365" s="29"/>
      <c r="AI1365" s="29"/>
      <c r="AJ1365" s="29"/>
      <c r="AK1365" s="29"/>
      <c r="AL1365" s="29"/>
      <c r="AM1365" s="29"/>
      <c r="AN1365" s="29"/>
      <c r="AO1365" s="29"/>
      <c r="AP1365" s="29"/>
      <c r="AQ1365" s="29"/>
      <c r="AR1365" s="29"/>
      <c r="AS1365" s="29"/>
      <c r="AT1365" s="29"/>
      <c r="AU1365" s="29"/>
      <c r="AV1365" s="29"/>
      <c r="AW1365" s="29"/>
      <c r="AX1365" s="29"/>
      <c r="AY1365" s="29"/>
      <c r="AZ1365" s="29"/>
      <c r="BA1365" s="29"/>
      <c r="BB1365" s="29"/>
      <c r="BC1365" s="29"/>
      <c r="BD1365" s="29"/>
      <c r="BE1365" s="29"/>
      <c r="BF1365" s="29"/>
      <c r="BG1365" s="29"/>
      <c r="BH1365" s="29"/>
      <c r="BI1365" s="29"/>
      <c r="BJ1365" s="29"/>
      <c r="BK1365" s="29"/>
      <c r="BL1365" s="29"/>
      <c r="BM1365" s="29"/>
      <c r="BN1365" s="29"/>
      <c r="BO1365" s="29"/>
      <c r="BP1365" s="29"/>
      <c r="BQ1365" s="29"/>
      <c r="BR1365" s="29"/>
      <c r="BS1365" s="29"/>
      <c r="BT1365" s="29"/>
      <c r="BU1365" s="29"/>
      <c r="BV1365" s="29"/>
      <c r="BW1365" s="29"/>
      <c r="BX1365" s="29"/>
      <c r="BY1365" s="29"/>
      <c r="BZ1365" s="29"/>
      <c r="CA1365" s="29"/>
      <c r="CB1365" s="29"/>
      <c r="CC1365" s="29"/>
      <c r="CD1365" s="29"/>
      <c r="CE1365" s="29"/>
      <c r="CF1365" s="29"/>
      <c r="CG1365" s="29"/>
      <c r="CH1365" s="29"/>
      <c r="CI1365" s="29"/>
      <c r="CJ1365" s="29"/>
      <c r="CK1365" s="29"/>
      <c r="CL1365" s="29"/>
      <c r="CM1365" s="29"/>
      <c r="CN1365" s="29"/>
      <c r="CO1365" s="29"/>
      <c r="CP1365" s="29"/>
      <c r="CQ1365" s="29"/>
      <c r="CR1365" s="29"/>
      <c r="CS1365" s="29"/>
      <c r="CT1365" s="29"/>
      <c r="CU1365" s="29"/>
      <c r="CV1365" s="29"/>
      <c r="CW1365" s="29"/>
      <c r="CX1365" s="29"/>
      <c r="CY1365" s="29"/>
      <c r="CZ1365" s="29"/>
      <c r="DA1365" s="29"/>
      <c r="DB1365" s="29"/>
      <c r="DC1365" s="29"/>
      <c r="DD1365" s="29"/>
      <c r="DE1365" s="29"/>
      <c r="DF1365" s="29"/>
      <c r="DG1365" s="29"/>
      <c r="DH1365" s="29"/>
      <c r="DI1365" s="29"/>
      <c r="DJ1365" s="29"/>
      <c r="DK1365" s="29"/>
      <c r="DL1365" s="29"/>
      <c r="DM1365" s="29"/>
      <c r="DN1365" s="29"/>
      <c r="DO1365" s="29"/>
      <c r="DP1365" s="29"/>
      <c r="DQ1365" s="29"/>
      <c r="DR1365" s="29"/>
      <c r="DS1365" s="29"/>
      <c r="DT1365" s="29"/>
      <c r="DU1365" s="29"/>
      <c r="DV1365" s="29"/>
      <c r="DW1365" s="29"/>
      <c r="DX1365" s="29"/>
      <c r="DY1365" s="29"/>
      <c r="DZ1365" s="29"/>
      <c r="EA1365" s="29"/>
      <c r="EB1365" s="29"/>
      <c r="EC1365" s="29"/>
      <c r="ED1365" s="29"/>
      <c r="EE1365" s="29"/>
      <c r="EF1365" s="29"/>
      <c r="EG1365" s="29"/>
      <c r="EH1365" s="29"/>
      <c r="EI1365" s="29"/>
      <c r="EJ1365" s="29"/>
      <c r="EK1365" s="29"/>
      <c r="EL1365" s="29"/>
      <c r="EM1365" s="29"/>
      <c r="EN1365" s="29"/>
      <c r="EO1365" s="29"/>
      <c r="EP1365" s="29"/>
      <c r="EQ1365" s="29"/>
      <c r="ER1365" s="29"/>
      <c r="ES1365" s="29"/>
      <c r="ET1365" s="29"/>
      <c r="EU1365" s="29"/>
      <c r="EV1365" s="29"/>
      <c r="EW1365" s="29"/>
      <c r="EX1365" s="29"/>
      <c r="EY1365" s="29"/>
      <c r="EZ1365" s="29"/>
      <c r="FA1365" s="29"/>
      <c r="FB1365" s="29"/>
      <c r="FC1365" s="29"/>
      <c r="FD1365" s="29"/>
      <c r="FE1365" s="29"/>
      <c r="FF1365" s="29"/>
      <c r="FG1365" s="29"/>
      <c r="FH1365" s="29"/>
      <c r="FI1365" s="29"/>
      <c r="FJ1365" s="29"/>
      <c r="FK1365" s="29"/>
      <c r="FL1365" s="29"/>
      <c r="FM1365" s="29"/>
      <c r="FN1365" s="29"/>
      <c r="FO1365" s="29"/>
      <c r="FP1365" s="29"/>
      <c r="FQ1365" s="29"/>
      <c r="FR1365" s="29"/>
      <c r="FS1365" s="29"/>
      <c r="FT1365" s="29"/>
      <c r="FU1365" s="29"/>
      <c r="FV1365" s="29"/>
      <c r="FW1365" s="29"/>
      <c r="FX1365" s="29"/>
      <c r="FY1365" s="29"/>
      <c r="FZ1365" s="29"/>
      <c r="GA1365" s="29"/>
      <c r="GB1365" s="29"/>
      <c r="GC1365" s="29"/>
      <c r="GD1365" s="29"/>
      <c r="GE1365" s="29"/>
      <c r="GF1365" s="29"/>
      <c r="GG1365" s="29"/>
      <c r="GH1365" s="29"/>
      <c r="GI1365" s="29"/>
      <c r="GJ1365" s="29"/>
      <c r="GK1365" s="29"/>
      <c r="GL1365" s="29"/>
      <c r="GM1365" s="29"/>
      <c r="GN1365" s="29"/>
      <c r="GO1365" s="29"/>
      <c r="GP1365" s="29"/>
      <c r="GQ1365" s="29"/>
      <c r="GR1365" s="29"/>
      <c r="GS1365" s="29"/>
      <c r="GT1365" s="29"/>
      <c r="GU1365" s="29"/>
      <c r="GV1365" s="29"/>
      <c r="GW1365" s="29"/>
      <c r="GX1365" s="29"/>
      <c r="GY1365" s="29"/>
      <c r="GZ1365" s="29"/>
      <c r="HA1365" s="29"/>
      <c r="HB1365" s="29"/>
      <c r="HC1365" s="29"/>
      <c r="HD1365" s="29"/>
      <c r="HE1365" s="29"/>
      <c r="HF1365" s="29"/>
      <c r="HG1365" s="29"/>
      <c r="HH1365" s="29"/>
      <c r="HI1365" s="29"/>
      <c r="HJ1365" s="29"/>
      <c r="HK1365" s="29"/>
      <c r="HL1365" s="29"/>
      <c r="HM1365" s="29"/>
      <c r="HN1365" s="29"/>
      <c r="HO1365" s="29"/>
      <c r="HP1365" s="29"/>
      <c r="HQ1365" s="29"/>
      <c r="HR1365" s="29"/>
      <c r="HS1365" s="29"/>
      <c r="HT1365" s="29"/>
      <c r="HU1365" s="29"/>
      <c r="HV1365" s="29"/>
      <c r="HW1365" s="29"/>
      <c r="HX1365" s="29"/>
      <c r="HY1365" s="29"/>
      <c r="HZ1365" s="29"/>
      <c r="IA1365" s="29"/>
      <c r="IB1365" s="29"/>
      <c r="IC1365" s="29"/>
      <c r="ID1365" s="29"/>
      <c r="IE1365" s="29"/>
      <c r="IF1365" s="29"/>
      <c r="IG1365" s="29"/>
      <c r="IH1365" s="29"/>
      <c r="II1365" s="29"/>
      <c r="IJ1365" s="29"/>
      <c r="IK1365" s="29"/>
      <c r="IL1365" s="29"/>
      <c r="IM1365" s="29"/>
      <c r="IN1365" s="29"/>
      <c r="IO1365" s="29"/>
      <c r="IP1365" s="29"/>
      <c r="IQ1365" s="29"/>
      <c r="IR1365" s="29"/>
      <c r="IS1365" s="29"/>
      <c r="IT1365" s="29"/>
      <c r="IU1365" s="29"/>
      <c r="IV1365" s="29"/>
      <c r="IW1365" s="29"/>
      <c r="IX1365" s="29"/>
      <c r="IY1365" s="29"/>
      <c r="IZ1365" s="29"/>
      <c r="JA1365" s="29"/>
      <c r="JB1365" s="29"/>
      <c r="JC1365" s="29"/>
      <c r="JD1365" s="29"/>
      <c r="JE1365" s="29"/>
      <c r="JF1365" s="29"/>
      <c r="JG1365" s="29"/>
      <c r="JH1365" s="29"/>
      <c r="JI1365" s="29"/>
      <c r="JJ1365" s="29"/>
      <c r="JK1365" s="29"/>
      <c r="JL1365" s="29"/>
      <c r="JM1365" s="29"/>
      <c r="JN1365" s="29"/>
      <c r="JO1365" s="29"/>
      <c r="JP1365" s="29"/>
      <c r="JQ1365" s="29"/>
      <c r="JR1365" s="29"/>
      <c r="JS1365" s="29"/>
      <c r="JT1365" s="29"/>
      <c r="JU1365" s="29"/>
      <c r="JV1365" s="29"/>
      <c r="JW1365" s="29"/>
      <c r="JX1365" s="29"/>
      <c r="JY1365" s="29"/>
      <c r="JZ1365" s="29"/>
      <c r="KA1365" s="29"/>
      <c r="KB1365" s="29"/>
      <c r="KC1365" s="29"/>
      <c r="KD1365" s="29"/>
      <c r="KE1365" s="29"/>
      <c r="KF1365" s="29"/>
      <c r="KG1365" s="29"/>
      <c r="KH1365" s="29"/>
      <c r="KI1365" s="29"/>
      <c r="KJ1365" s="29"/>
      <c r="KK1365" s="29"/>
      <c r="KL1365" s="29"/>
      <c r="KM1365" s="29"/>
      <c r="KN1365" s="29"/>
      <c r="KO1365" s="29"/>
      <c r="KP1365" s="29"/>
      <c r="KQ1365" s="29"/>
      <c r="KR1365" s="29"/>
      <c r="KS1365" s="29"/>
      <c r="KT1365" s="29"/>
      <c r="KU1365" s="29"/>
      <c r="KV1365" s="29"/>
      <c r="KW1365" s="29"/>
      <c r="KX1365" s="29"/>
      <c r="KY1365" s="29"/>
      <c r="KZ1365" s="29"/>
      <c r="LA1365" s="29"/>
      <c r="LB1365" s="29"/>
      <c r="LC1365" s="29"/>
      <c r="LD1365" s="29"/>
      <c r="LE1365" s="29"/>
      <c r="LF1365" s="29"/>
      <c r="LG1365" s="29"/>
      <c r="LH1365" s="29"/>
      <c r="LI1365" s="29"/>
      <c r="LJ1365" s="29"/>
      <c r="LK1365" s="29"/>
      <c r="LL1365" s="29"/>
      <c r="LM1365" s="29"/>
      <c r="LN1365" s="29"/>
      <c r="LO1365" s="29"/>
      <c r="LP1365" s="29"/>
      <c r="LQ1365" s="29"/>
      <c r="LR1365" s="29"/>
      <c r="LS1365" s="29"/>
      <c r="LT1365" s="29"/>
      <c r="LU1365" s="29"/>
      <c r="LV1365" s="29"/>
      <c r="LW1365" s="29"/>
      <c r="LX1365" s="29"/>
      <c r="LY1365" s="29"/>
      <c r="LZ1365" s="29"/>
      <c r="MA1365" s="29"/>
      <c r="MB1365" s="29"/>
      <c r="MC1365" s="29"/>
      <c r="MD1365" s="29"/>
      <c r="ME1365" s="29"/>
      <c r="MF1365" s="29"/>
      <c r="MG1365" s="29"/>
      <c r="MH1365" s="29"/>
      <c r="MI1365" s="29"/>
      <c r="MJ1365" s="29"/>
      <c r="MK1365" s="29"/>
      <c r="ML1365" s="29"/>
      <c r="MM1365" s="29"/>
      <c r="MN1365" s="29"/>
      <c r="MO1365" s="29"/>
      <c r="MP1365" s="29"/>
      <c r="MQ1365" s="29"/>
      <c r="MR1365" s="29"/>
      <c r="MS1365" s="29"/>
      <c r="MT1365" s="29"/>
      <c r="MU1365" s="29"/>
      <c r="MV1365" s="29"/>
      <c r="MW1365" s="29"/>
      <c r="MX1365" s="29"/>
      <c r="MY1365" s="29"/>
      <c r="MZ1365" s="29"/>
      <c r="NA1365" s="29"/>
      <c r="NB1365" s="29"/>
      <c r="NC1365" s="29"/>
      <c r="ND1365" s="29"/>
      <c r="NE1365" s="29"/>
      <c r="NF1365" s="29"/>
      <c r="NG1365" s="29"/>
      <c r="NH1365" s="29"/>
      <c r="NI1365" s="29"/>
      <c r="NJ1365" s="29"/>
      <c r="NK1365" s="29"/>
      <c r="NL1365" s="29"/>
      <c r="NM1365" s="29"/>
      <c r="NN1365" s="29"/>
      <c r="NO1365" s="29"/>
      <c r="NP1365" s="29"/>
      <c r="NQ1365" s="29"/>
      <c r="NR1365" s="29"/>
      <c r="NS1365" s="29"/>
      <c r="NT1365" s="29"/>
      <c r="NU1365" s="29"/>
      <c r="NV1365" s="29"/>
      <c r="NW1365" s="29"/>
      <c r="NX1365" s="29"/>
      <c r="NY1365" s="29"/>
      <c r="NZ1365" s="29"/>
      <c r="OA1365" s="29"/>
      <c r="OB1365" s="29"/>
      <c r="OC1365" s="29"/>
      <c r="OD1365" s="29"/>
      <c r="OE1365" s="29"/>
      <c r="OF1365" s="29"/>
      <c r="OG1365" s="29"/>
      <c r="OH1365" s="29"/>
      <c r="OI1365" s="29"/>
      <c r="OJ1365" s="29"/>
      <c r="OK1365" s="29"/>
      <c r="OL1365" s="29"/>
      <c r="OM1365" s="29"/>
      <c r="ON1365" s="29"/>
      <c r="OO1365" s="29"/>
      <c r="OP1365" s="29"/>
      <c r="OQ1365" s="29"/>
      <c r="OR1365" s="29"/>
      <c r="OS1365" s="29"/>
      <c r="OT1365" s="29"/>
      <c r="OU1365" s="29"/>
      <c r="OV1365" s="29"/>
      <c r="OW1365" s="29"/>
      <c r="OX1365" s="29"/>
      <c r="OY1365" s="29"/>
      <c r="OZ1365" s="29"/>
      <c r="PA1365" s="29"/>
      <c r="PB1365" s="29"/>
      <c r="PC1365" s="29"/>
      <c r="PD1365" s="29"/>
      <c r="PE1365" s="29"/>
      <c r="PF1365" s="29"/>
      <c r="PG1365" s="29"/>
      <c r="PH1365" s="29"/>
      <c r="PI1365" s="29"/>
      <c r="PJ1365" s="29"/>
      <c r="PK1365" s="29"/>
      <c r="PL1365" s="29"/>
      <c r="PM1365" s="29"/>
      <c r="PN1365" s="29"/>
      <c r="PO1365" s="29"/>
      <c r="PP1365" s="29"/>
      <c r="PQ1365" s="29"/>
      <c r="PR1365" s="29"/>
      <c r="PS1365" s="29"/>
      <c r="PT1365" s="29"/>
      <c r="PU1365" s="29"/>
      <c r="PV1365" s="29"/>
      <c r="PW1365" s="29"/>
      <c r="PX1365" s="29"/>
      <c r="PY1365" s="29"/>
      <c r="PZ1365" s="29"/>
      <c r="QA1365" s="29"/>
      <c r="QB1365" s="29"/>
      <c r="QC1365" s="29"/>
      <c r="QD1365" s="29"/>
      <c r="QE1365" s="29"/>
      <c r="QF1365" s="29"/>
      <c r="QG1365" s="29"/>
      <c r="QH1365" s="29"/>
      <c r="QI1365" s="29"/>
      <c r="QJ1365" s="29"/>
      <c r="QK1365" s="29"/>
      <c r="QL1365" s="29"/>
      <c r="QM1365" s="29"/>
      <c r="QN1365" s="29"/>
      <c r="QO1365" s="29"/>
      <c r="QP1365" s="29"/>
      <c r="QQ1365" s="29"/>
      <c r="QR1365" s="29"/>
      <c r="QS1365" s="29"/>
      <c r="QT1365" s="29"/>
      <c r="QU1365" s="29"/>
      <c r="QV1365" s="29"/>
      <c r="QW1365" s="29"/>
      <c r="QX1365" s="29"/>
      <c r="QY1365" s="29"/>
      <c r="QZ1365" s="29"/>
      <c r="RA1365" s="29"/>
      <c r="RB1365" s="29"/>
      <c r="RC1365" s="29"/>
      <c r="RD1365" s="29"/>
      <c r="RE1365" s="29"/>
      <c r="RF1365" s="29"/>
      <c r="RG1365" s="29"/>
      <c r="RH1365" s="29"/>
      <c r="RI1365" s="29"/>
      <c r="RJ1365" s="29"/>
      <c r="RK1365" s="29"/>
      <c r="RL1365" s="29"/>
      <c r="RM1365" s="29"/>
      <c r="RN1365" s="29"/>
      <c r="RO1365" s="29"/>
      <c r="RP1365" s="29"/>
      <c r="RQ1365" s="29"/>
      <c r="RR1365" s="29"/>
      <c r="RS1365" s="29"/>
      <c r="RT1365" s="29"/>
      <c r="RU1365" s="29"/>
      <c r="RV1365" s="29"/>
      <c r="RW1365" s="29"/>
      <c r="RX1365" s="29"/>
      <c r="RY1365" s="29"/>
      <c r="RZ1365" s="29"/>
      <c r="SA1365" s="29"/>
      <c r="SB1365" s="29"/>
      <c r="SC1365" s="29"/>
      <c r="SD1365" s="29"/>
      <c r="SE1365" s="29"/>
      <c r="SF1365" s="29"/>
      <c r="SG1365" s="29"/>
      <c r="SH1365" s="29"/>
      <c r="SI1365" s="29"/>
      <c r="SJ1365" s="29"/>
      <c r="SK1365" s="29"/>
      <c r="SL1365" s="29"/>
      <c r="SM1365" s="29"/>
      <c r="SN1365" s="29"/>
      <c r="SO1365" s="29"/>
      <c r="SP1365" s="29"/>
      <c r="SQ1365" s="29"/>
      <c r="SR1365" s="29"/>
      <c r="SS1365" s="29"/>
      <c r="ST1365" s="29"/>
      <c r="SU1365" s="29"/>
      <c r="SV1365" s="29"/>
      <c r="SW1365" s="29"/>
      <c r="SX1365" s="29"/>
      <c r="SY1365" s="29"/>
      <c r="SZ1365" s="29"/>
      <c r="TA1365" s="29"/>
      <c r="TB1365" s="29"/>
      <c r="TC1365" s="29"/>
      <c r="TD1365" s="29"/>
      <c r="TE1365" s="29"/>
      <c r="TF1365" s="29"/>
      <c r="TG1365" s="29"/>
      <c r="TH1365" s="29"/>
      <c r="TI1365" s="29"/>
      <c r="TJ1365" s="29"/>
      <c r="TK1365" s="29"/>
      <c r="TL1365" s="29"/>
      <c r="TM1365" s="29"/>
      <c r="TN1365" s="29"/>
      <c r="TO1365" s="29"/>
      <c r="TP1365" s="29"/>
      <c r="TQ1365" s="29"/>
      <c r="TR1365" s="29"/>
      <c r="TS1365" s="29"/>
      <c r="TT1365" s="29"/>
      <c r="TU1365" s="29"/>
      <c r="TV1365" s="29"/>
      <c r="TW1365" s="29"/>
      <c r="TX1365" s="29"/>
      <c r="TY1365" s="29"/>
      <c r="TZ1365" s="29"/>
      <c r="UA1365" s="29"/>
      <c r="UB1365" s="29"/>
      <c r="UC1365" s="29"/>
      <c r="UD1365" s="29"/>
      <c r="UE1365" s="29"/>
      <c r="UF1365" s="29"/>
      <c r="UG1365" s="29"/>
      <c r="UH1365" s="29"/>
      <c r="UI1365" s="29"/>
      <c r="UJ1365" s="29"/>
      <c r="UK1365" s="29"/>
      <c r="UL1365" s="29"/>
      <c r="UM1365" s="29"/>
      <c r="UN1365" s="29"/>
      <c r="UO1365" s="29"/>
      <c r="UP1365" s="29"/>
      <c r="UQ1365" s="29"/>
      <c r="UR1365" s="29"/>
      <c r="US1365" s="29"/>
      <c r="UT1365" s="29"/>
      <c r="UU1365" s="29"/>
      <c r="UV1365" s="29"/>
      <c r="UW1365" s="29"/>
      <c r="UX1365" s="29"/>
      <c r="UY1365" s="29"/>
      <c r="UZ1365" s="29"/>
      <c r="VA1365" s="29"/>
      <c r="VB1365" s="29"/>
      <c r="VC1365" s="29"/>
      <c r="VD1365" s="29"/>
      <c r="VE1365" s="29"/>
      <c r="VF1365" s="29"/>
      <c r="VG1365" s="29"/>
      <c r="VH1365" s="29"/>
      <c r="VI1365" s="29"/>
      <c r="VJ1365" s="29"/>
      <c r="VK1365" s="29"/>
      <c r="VL1365" s="29"/>
      <c r="VM1365" s="29"/>
      <c r="VN1365" s="29"/>
      <c r="VO1365" s="29"/>
      <c r="VP1365" s="29"/>
      <c r="VQ1365" s="29"/>
      <c r="VR1365" s="29"/>
      <c r="VS1365" s="29"/>
      <c r="VT1365" s="29"/>
      <c r="VU1365" s="29"/>
      <c r="VV1365" s="29"/>
      <c r="VW1365" s="29"/>
      <c r="VX1365" s="29"/>
      <c r="VY1365" s="29"/>
      <c r="VZ1365" s="29"/>
      <c r="WA1365" s="29"/>
      <c r="WB1365" s="29"/>
    </row>
    <row r="1430" spans="1:600" x14ac:dyDescent="0.3">
      <c r="A1430" s="29"/>
      <c r="B1430" s="29"/>
      <c r="C1430" s="29"/>
      <c r="D1430" s="29"/>
      <c r="E1430" s="29"/>
      <c r="F1430" s="29"/>
      <c r="G1430" s="29"/>
      <c r="H1430" s="29"/>
      <c r="I1430" s="29"/>
      <c r="J1430" s="29"/>
      <c r="K1430" s="29"/>
      <c r="L1430" s="29"/>
      <c r="M1430" s="29"/>
      <c r="N1430" s="29"/>
      <c r="O1430" s="29"/>
      <c r="P1430" s="29"/>
      <c r="Q1430" s="29"/>
      <c r="R1430" s="29"/>
      <c r="S1430" s="29"/>
      <c r="T1430" s="29"/>
      <c r="U1430" s="29"/>
      <c r="V1430" s="29"/>
      <c r="W1430" s="29"/>
      <c r="X1430" s="29"/>
      <c r="Y1430" s="29"/>
      <c r="Z1430" s="29"/>
      <c r="AA1430" s="29"/>
      <c r="AB1430" s="29"/>
      <c r="AC1430" s="29"/>
      <c r="AD1430" s="29"/>
      <c r="AE1430" s="29"/>
      <c r="AF1430" s="29"/>
      <c r="AG1430" s="29"/>
      <c r="AH1430" s="29"/>
      <c r="AI1430" s="29"/>
      <c r="AJ1430" s="29"/>
      <c r="AK1430" s="29"/>
      <c r="AL1430" s="29"/>
      <c r="AM1430" s="29"/>
      <c r="AN1430" s="29"/>
      <c r="AO1430" s="29"/>
      <c r="AP1430" s="29"/>
      <c r="AQ1430" s="29"/>
      <c r="AR1430" s="29"/>
      <c r="AS1430" s="29"/>
      <c r="AT1430" s="29"/>
      <c r="AU1430" s="29"/>
      <c r="AV1430" s="29"/>
      <c r="AW1430" s="29"/>
      <c r="AX1430" s="29"/>
      <c r="AY1430" s="29"/>
      <c r="AZ1430" s="29"/>
      <c r="BA1430" s="29"/>
      <c r="BB1430" s="29"/>
      <c r="BC1430" s="29"/>
      <c r="BD1430" s="29"/>
      <c r="BE1430" s="29"/>
      <c r="BF1430" s="29"/>
      <c r="BG1430" s="29"/>
      <c r="BH1430" s="29"/>
      <c r="BI1430" s="29"/>
      <c r="BJ1430" s="29"/>
      <c r="BK1430" s="29"/>
      <c r="BL1430" s="29"/>
      <c r="BM1430" s="29"/>
      <c r="BN1430" s="29"/>
      <c r="BO1430" s="29"/>
      <c r="BP1430" s="29"/>
      <c r="BQ1430" s="29"/>
      <c r="BR1430" s="29"/>
      <c r="BS1430" s="29"/>
      <c r="BT1430" s="29"/>
      <c r="BU1430" s="29"/>
      <c r="BV1430" s="29"/>
      <c r="BW1430" s="29"/>
      <c r="BX1430" s="29"/>
      <c r="BY1430" s="29"/>
      <c r="BZ1430" s="29"/>
      <c r="CA1430" s="29"/>
      <c r="CB1430" s="29"/>
      <c r="CC1430" s="29"/>
      <c r="CD1430" s="29"/>
      <c r="CE1430" s="29"/>
      <c r="CF1430" s="29"/>
      <c r="CG1430" s="29"/>
      <c r="CH1430" s="29"/>
      <c r="CI1430" s="29"/>
      <c r="CJ1430" s="29"/>
      <c r="CK1430" s="29"/>
      <c r="CL1430" s="29"/>
      <c r="CM1430" s="29"/>
      <c r="CN1430" s="29"/>
      <c r="CO1430" s="29"/>
      <c r="CP1430" s="29"/>
      <c r="CQ1430" s="29"/>
      <c r="CR1430" s="29"/>
      <c r="CS1430" s="29"/>
      <c r="CT1430" s="29"/>
      <c r="CU1430" s="29"/>
      <c r="CV1430" s="29"/>
      <c r="CW1430" s="29"/>
      <c r="CX1430" s="29"/>
      <c r="CY1430" s="29"/>
      <c r="CZ1430" s="29"/>
      <c r="DA1430" s="29"/>
      <c r="DB1430" s="29"/>
      <c r="DC1430" s="29"/>
      <c r="DD1430" s="29"/>
      <c r="DE1430" s="29"/>
      <c r="DF1430" s="29"/>
      <c r="DG1430" s="29"/>
      <c r="DH1430" s="29"/>
      <c r="DI1430" s="29"/>
      <c r="DJ1430" s="29"/>
      <c r="DK1430" s="29"/>
      <c r="DL1430" s="29"/>
      <c r="DM1430" s="29"/>
      <c r="DN1430" s="29"/>
      <c r="DO1430" s="29"/>
      <c r="DP1430" s="29"/>
      <c r="DQ1430" s="29"/>
      <c r="DR1430" s="29"/>
      <c r="DS1430" s="29"/>
      <c r="DT1430" s="29"/>
      <c r="DU1430" s="29"/>
      <c r="DV1430" s="29"/>
      <c r="DW1430" s="29"/>
      <c r="DX1430" s="29"/>
      <c r="DY1430" s="29"/>
      <c r="DZ1430" s="29"/>
      <c r="EA1430" s="29"/>
      <c r="EB1430" s="29"/>
      <c r="EC1430" s="29"/>
      <c r="ED1430" s="29"/>
      <c r="EE1430" s="29"/>
      <c r="EF1430" s="29"/>
      <c r="EG1430" s="29"/>
      <c r="EH1430" s="29"/>
      <c r="EI1430" s="29"/>
      <c r="EJ1430" s="29"/>
      <c r="EK1430" s="29"/>
      <c r="EL1430" s="29"/>
      <c r="EM1430" s="29"/>
      <c r="EN1430" s="29"/>
      <c r="EO1430" s="29"/>
      <c r="EP1430" s="29"/>
      <c r="EQ1430" s="29"/>
      <c r="ER1430" s="29"/>
      <c r="ES1430" s="29"/>
      <c r="ET1430" s="29"/>
      <c r="EU1430" s="29"/>
      <c r="EV1430" s="29"/>
      <c r="EW1430" s="29"/>
      <c r="EX1430" s="29"/>
      <c r="EY1430" s="29"/>
      <c r="EZ1430" s="29"/>
      <c r="FA1430" s="29"/>
      <c r="FB1430" s="29"/>
      <c r="FC1430" s="29"/>
      <c r="FD1430" s="29"/>
      <c r="FE1430" s="29"/>
      <c r="FF1430" s="29"/>
      <c r="FG1430" s="29"/>
      <c r="FH1430" s="29"/>
      <c r="FI1430" s="29"/>
      <c r="FJ1430" s="29"/>
      <c r="FK1430" s="29"/>
      <c r="FL1430" s="29"/>
      <c r="FM1430" s="29"/>
      <c r="FN1430" s="29"/>
      <c r="FO1430" s="29"/>
      <c r="FP1430" s="29"/>
      <c r="FQ1430" s="29"/>
      <c r="FR1430" s="29"/>
      <c r="FS1430" s="29"/>
      <c r="FT1430" s="29"/>
      <c r="FU1430" s="29"/>
      <c r="FV1430" s="29"/>
      <c r="FW1430" s="29"/>
      <c r="FX1430" s="29"/>
      <c r="FY1430" s="29"/>
      <c r="FZ1430" s="29"/>
      <c r="GA1430" s="29"/>
      <c r="GB1430" s="29"/>
      <c r="GC1430" s="29"/>
      <c r="GD1430" s="29"/>
      <c r="GE1430" s="29"/>
      <c r="GF1430" s="29"/>
      <c r="GG1430" s="29"/>
      <c r="GH1430" s="29"/>
      <c r="GI1430" s="29"/>
      <c r="GJ1430" s="29"/>
      <c r="GK1430" s="29"/>
      <c r="GL1430" s="29"/>
      <c r="GM1430" s="29"/>
      <c r="GN1430" s="29"/>
      <c r="GO1430" s="29"/>
      <c r="GP1430" s="29"/>
      <c r="GQ1430" s="29"/>
      <c r="GR1430" s="29"/>
      <c r="GS1430" s="29"/>
      <c r="GT1430" s="29"/>
      <c r="GU1430" s="29"/>
      <c r="GV1430" s="29"/>
      <c r="GW1430" s="29"/>
      <c r="GX1430" s="29"/>
      <c r="GY1430" s="29"/>
      <c r="GZ1430" s="29"/>
      <c r="HA1430" s="29"/>
      <c r="HB1430" s="29"/>
      <c r="HC1430" s="29"/>
      <c r="HD1430" s="29"/>
      <c r="HE1430" s="29"/>
      <c r="HF1430" s="29"/>
      <c r="HG1430" s="29"/>
      <c r="HH1430" s="29"/>
      <c r="HI1430" s="29"/>
      <c r="HJ1430" s="29"/>
      <c r="HK1430" s="29"/>
      <c r="HL1430" s="29"/>
      <c r="HM1430" s="29"/>
      <c r="HN1430" s="29"/>
      <c r="HO1430" s="29"/>
      <c r="HP1430" s="29"/>
      <c r="HQ1430" s="29"/>
      <c r="HR1430" s="29"/>
      <c r="HS1430" s="29"/>
      <c r="HT1430" s="29"/>
      <c r="HU1430" s="29"/>
      <c r="HV1430" s="29"/>
      <c r="HW1430" s="29"/>
      <c r="HX1430" s="29"/>
      <c r="HY1430" s="29"/>
      <c r="HZ1430" s="29"/>
      <c r="IA1430" s="29"/>
      <c r="IB1430" s="29"/>
      <c r="IC1430" s="29"/>
      <c r="ID1430" s="29"/>
      <c r="IE1430" s="29"/>
      <c r="IF1430" s="29"/>
      <c r="IG1430" s="29"/>
      <c r="IH1430" s="29"/>
      <c r="II1430" s="29"/>
      <c r="IJ1430" s="29"/>
      <c r="IK1430" s="29"/>
      <c r="IL1430" s="29"/>
      <c r="IM1430" s="29"/>
      <c r="IN1430" s="29"/>
      <c r="IO1430" s="29"/>
      <c r="IP1430" s="29"/>
      <c r="IQ1430" s="29"/>
      <c r="IR1430" s="29"/>
      <c r="IS1430" s="29"/>
      <c r="IT1430" s="29"/>
      <c r="IU1430" s="29"/>
      <c r="IV1430" s="29"/>
      <c r="IW1430" s="29"/>
      <c r="IX1430" s="29"/>
      <c r="IY1430" s="29"/>
      <c r="IZ1430" s="29"/>
      <c r="JA1430" s="29"/>
      <c r="JB1430" s="29"/>
      <c r="JC1430" s="29"/>
      <c r="JD1430" s="29"/>
      <c r="JE1430" s="29"/>
      <c r="JF1430" s="29"/>
      <c r="JG1430" s="29"/>
      <c r="JH1430" s="29"/>
      <c r="JI1430" s="29"/>
      <c r="JJ1430" s="29"/>
      <c r="JK1430" s="29"/>
      <c r="JL1430" s="29"/>
      <c r="JM1430" s="29"/>
      <c r="JN1430" s="29"/>
      <c r="JO1430" s="29"/>
      <c r="JP1430" s="29"/>
      <c r="JQ1430" s="29"/>
      <c r="JR1430" s="29"/>
      <c r="JS1430" s="29"/>
      <c r="JT1430" s="29"/>
      <c r="JU1430" s="29"/>
      <c r="JV1430" s="29"/>
      <c r="JW1430" s="29"/>
      <c r="JX1430" s="29"/>
      <c r="JY1430" s="29"/>
      <c r="JZ1430" s="29"/>
      <c r="KA1430" s="29"/>
      <c r="KB1430" s="29"/>
      <c r="KC1430" s="29"/>
      <c r="KD1430" s="29"/>
      <c r="KE1430" s="29"/>
      <c r="KF1430" s="29"/>
      <c r="KG1430" s="29"/>
      <c r="KH1430" s="29"/>
      <c r="KI1430" s="29"/>
      <c r="KJ1430" s="29"/>
      <c r="KK1430" s="29"/>
      <c r="KL1430" s="29"/>
      <c r="KM1430" s="29"/>
      <c r="KN1430" s="29"/>
      <c r="KO1430" s="29"/>
      <c r="KP1430" s="29"/>
      <c r="KQ1430" s="29"/>
      <c r="KR1430" s="29"/>
      <c r="KS1430" s="29"/>
      <c r="KT1430" s="29"/>
      <c r="KU1430" s="29"/>
      <c r="KV1430" s="29"/>
      <c r="KW1430" s="29"/>
      <c r="KX1430" s="29"/>
      <c r="KY1430" s="29"/>
      <c r="KZ1430" s="29"/>
      <c r="LA1430" s="29"/>
      <c r="LB1430" s="29"/>
      <c r="LC1430" s="29"/>
      <c r="LD1430" s="29"/>
      <c r="LE1430" s="29"/>
      <c r="LF1430" s="29"/>
      <c r="LG1430" s="29"/>
      <c r="LH1430" s="29"/>
      <c r="LI1430" s="29"/>
      <c r="LJ1430" s="29"/>
      <c r="LK1430" s="29"/>
      <c r="LL1430" s="29"/>
      <c r="LM1430" s="29"/>
      <c r="LN1430" s="29"/>
      <c r="LO1430" s="29"/>
      <c r="LP1430" s="29"/>
      <c r="LQ1430" s="29"/>
      <c r="LR1430" s="29"/>
      <c r="LS1430" s="29"/>
      <c r="LT1430" s="29"/>
      <c r="LU1430" s="29"/>
      <c r="LV1430" s="29"/>
      <c r="LW1430" s="29"/>
      <c r="LX1430" s="29"/>
      <c r="LY1430" s="29"/>
      <c r="LZ1430" s="29"/>
      <c r="MA1430" s="29"/>
      <c r="MB1430" s="29"/>
      <c r="MC1430" s="29"/>
      <c r="MD1430" s="29"/>
      <c r="ME1430" s="29"/>
      <c r="MF1430" s="29"/>
      <c r="MG1430" s="29"/>
      <c r="MH1430" s="29"/>
      <c r="MI1430" s="29"/>
      <c r="MJ1430" s="29"/>
      <c r="MK1430" s="29"/>
      <c r="ML1430" s="29"/>
      <c r="MM1430" s="29"/>
      <c r="MN1430" s="29"/>
      <c r="MO1430" s="29"/>
      <c r="MP1430" s="29"/>
      <c r="MQ1430" s="29"/>
      <c r="MR1430" s="29"/>
      <c r="MS1430" s="29"/>
      <c r="MT1430" s="29"/>
      <c r="MU1430" s="29"/>
      <c r="MV1430" s="29"/>
      <c r="MW1430" s="29"/>
      <c r="MX1430" s="29"/>
      <c r="MY1430" s="29"/>
      <c r="MZ1430" s="29"/>
      <c r="NA1430" s="29"/>
      <c r="NB1430" s="29"/>
      <c r="NC1430" s="29"/>
      <c r="ND1430" s="29"/>
      <c r="NE1430" s="29"/>
      <c r="NF1430" s="29"/>
      <c r="NG1430" s="29"/>
      <c r="NH1430" s="29"/>
      <c r="NI1430" s="29"/>
      <c r="NJ1430" s="29"/>
      <c r="NK1430" s="29"/>
      <c r="NL1430" s="29"/>
      <c r="NM1430" s="29"/>
      <c r="NN1430" s="29"/>
      <c r="NO1430" s="29"/>
      <c r="NP1430" s="29"/>
      <c r="NQ1430" s="29"/>
      <c r="NR1430" s="29"/>
      <c r="NS1430" s="29"/>
      <c r="NT1430" s="29"/>
      <c r="NU1430" s="29"/>
      <c r="NV1430" s="29"/>
      <c r="NW1430" s="29"/>
      <c r="NX1430" s="29"/>
      <c r="NY1430" s="29"/>
      <c r="NZ1430" s="29"/>
      <c r="OA1430" s="29"/>
      <c r="OB1430" s="29"/>
      <c r="OC1430" s="29"/>
      <c r="OD1430" s="29"/>
      <c r="OE1430" s="29"/>
      <c r="OF1430" s="29"/>
      <c r="OG1430" s="29"/>
      <c r="OH1430" s="29"/>
      <c r="OI1430" s="29"/>
      <c r="OJ1430" s="29"/>
      <c r="OK1430" s="29"/>
      <c r="OL1430" s="29"/>
      <c r="OM1430" s="29"/>
      <c r="ON1430" s="29"/>
      <c r="OO1430" s="29"/>
      <c r="OP1430" s="29"/>
      <c r="OQ1430" s="29"/>
      <c r="OR1430" s="29"/>
      <c r="OS1430" s="29"/>
      <c r="OT1430" s="29"/>
      <c r="OU1430" s="29"/>
      <c r="OV1430" s="29"/>
      <c r="OW1430" s="29"/>
      <c r="OX1430" s="29"/>
      <c r="OY1430" s="29"/>
      <c r="OZ1430" s="29"/>
      <c r="PA1430" s="29"/>
      <c r="PB1430" s="29"/>
      <c r="PC1430" s="29"/>
      <c r="PD1430" s="29"/>
      <c r="PE1430" s="29"/>
      <c r="PF1430" s="29"/>
      <c r="PG1430" s="29"/>
      <c r="PH1430" s="29"/>
      <c r="PI1430" s="29"/>
      <c r="PJ1430" s="29"/>
      <c r="PK1430" s="29"/>
      <c r="PL1430" s="29"/>
      <c r="PM1430" s="29"/>
      <c r="PN1430" s="29"/>
      <c r="PO1430" s="29"/>
      <c r="PP1430" s="29"/>
      <c r="PQ1430" s="29"/>
      <c r="PR1430" s="29"/>
      <c r="PS1430" s="29"/>
      <c r="PT1430" s="29"/>
      <c r="PU1430" s="29"/>
      <c r="PV1430" s="29"/>
      <c r="PW1430" s="29"/>
      <c r="PX1430" s="29"/>
      <c r="PY1430" s="29"/>
      <c r="PZ1430" s="29"/>
      <c r="QA1430" s="29"/>
      <c r="QB1430" s="29"/>
      <c r="QC1430" s="29"/>
      <c r="QD1430" s="29"/>
      <c r="QE1430" s="29"/>
      <c r="QF1430" s="29"/>
      <c r="QG1430" s="29"/>
      <c r="QH1430" s="29"/>
      <c r="QI1430" s="29"/>
      <c r="QJ1430" s="29"/>
      <c r="QK1430" s="29"/>
      <c r="QL1430" s="29"/>
      <c r="QM1430" s="29"/>
      <c r="QN1430" s="29"/>
      <c r="QO1430" s="29"/>
      <c r="QP1430" s="29"/>
      <c r="QQ1430" s="29"/>
      <c r="QR1430" s="29"/>
      <c r="QS1430" s="29"/>
      <c r="QT1430" s="29"/>
      <c r="QU1430" s="29"/>
      <c r="QV1430" s="29"/>
      <c r="QW1430" s="29"/>
      <c r="QX1430" s="29"/>
      <c r="QY1430" s="29"/>
      <c r="QZ1430" s="29"/>
      <c r="RA1430" s="29"/>
      <c r="RB1430" s="29"/>
      <c r="RC1430" s="29"/>
      <c r="RD1430" s="29"/>
      <c r="RE1430" s="29"/>
      <c r="RF1430" s="29"/>
      <c r="RG1430" s="29"/>
      <c r="RH1430" s="29"/>
      <c r="RI1430" s="29"/>
      <c r="RJ1430" s="29"/>
      <c r="RK1430" s="29"/>
      <c r="RL1430" s="29"/>
      <c r="RM1430" s="29"/>
      <c r="RN1430" s="29"/>
      <c r="RO1430" s="29"/>
      <c r="RP1430" s="29"/>
      <c r="RQ1430" s="29"/>
      <c r="RR1430" s="29"/>
      <c r="RS1430" s="29"/>
      <c r="RT1430" s="29"/>
      <c r="RU1430" s="29"/>
      <c r="RV1430" s="29"/>
      <c r="RW1430" s="29"/>
      <c r="RX1430" s="29"/>
      <c r="RY1430" s="29"/>
      <c r="RZ1430" s="29"/>
      <c r="SA1430" s="29"/>
      <c r="SB1430" s="29"/>
      <c r="SC1430" s="29"/>
      <c r="SD1430" s="29"/>
      <c r="SE1430" s="29"/>
      <c r="SF1430" s="29"/>
      <c r="SG1430" s="29"/>
      <c r="SH1430" s="29"/>
      <c r="SI1430" s="29"/>
      <c r="SJ1430" s="29"/>
      <c r="SK1430" s="29"/>
      <c r="SL1430" s="29"/>
      <c r="SM1430" s="29"/>
      <c r="SN1430" s="29"/>
      <c r="SO1430" s="29"/>
      <c r="SP1430" s="29"/>
      <c r="SQ1430" s="29"/>
      <c r="SR1430" s="29"/>
      <c r="SS1430" s="29"/>
      <c r="ST1430" s="29"/>
      <c r="SU1430" s="29"/>
      <c r="SV1430" s="29"/>
      <c r="SW1430" s="29"/>
      <c r="SX1430" s="29"/>
      <c r="SY1430" s="29"/>
      <c r="SZ1430" s="29"/>
      <c r="TA1430" s="29"/>
      <c r="TB1430" s="29"/>
      <c r="TC1430" s="29"/>
      <c r="TD1430" s="29"/>
      <c r="TE1430" s="29"/>
      <c r="TF1430" s="29"/>
      <c r="TG1430" s="29"/>
      <c r="TH1430" s="29"/>
      <c r="TI1430" s="29"/>
      <c r="TJ1430" s="29"/>
      <c r="TK1430" s="29"/>
      <c r="TL1430" s="29"/>
      <c r="TM1430" s="29"/>
      <c r="TN1430" s="29"/>
      <c r="TO1430" s="29"/>
      <c r="TP1430" s="29"/>
      <c r="TQ1430" s="29"/>
      <c r="TR1430" s="29"/>
      <c r="TS1430" s="29"/>
      <c r="TT1430" s="29"/>
      <c r="TU1430" s="29"/>
      <c r="TV1430" s="29"/>
      <c r="TW1430" s="29"/>
      <c r="TX1430" s="29"/>
      <c r="TY1430" s="29"/>
      <c r="TZ1430" s="29"/>
      <c r="UA1430" s="29"/>
      <c r="UB1430" s="29"/>
      <c r="UC1430" s="29"/>
      <c r="UD1430" s="29"/>
      <c r="UE1430" s="29"/>
      <c r="UF1430" s="29"/>
      <c r="UG1430" s="29"/>
      <c r="UH1430" s="29"/>
      <c r="UI1430" s="29"/>
      <c r="UJ1430" s="29"/>
      <c r="UK1430" s="29"/>
      <c r="UL1430" s="29"/>
      <c r="UM1430" s="29"/>
      <c r="UN1430" s="29"/>
      <c r="UO1430" s="29"/>
      <c r="UP1430" s="29"/>
      <c r="UQ1430" s="29"/>
      <c r="UR1430" s="29"/>
      <c r="US1430" s="29"/>
      <c r="UT1430" s="29"/>
      <c r="UU1430" s="29"/>
      <c r="UV1430" s="29"/>
      <c r="UW1430" s="29"/>
      <c r="UX1430" s="29"/>
      <c r="UY1430" s="29"/>
      <c r="UZ1430" s="29"/>
      <c r="VA1430" s="29"/>
      <c r="VB1430" s="29"/>
      <c r="VC1430" s="29"/>
      <c r="VD1430" s="29"/>
      <c r="VE1430" s="29"/>
      <c r="VF1430" s="29"/>
      <c r="VG1430" s="29"/>
      <c r="VH1430" s="29"/>
      <c r="VI1430" s="29"/>
      <c r="VJ1430" s="29"/>
      <c r="VK1430" s="29"/>
      <c r="VL1430" s="29"/>
      <c r="VM1430" s="29"/>
      <c r="VN1430" s="29"/>
      <c r="VO1430" s="29"/>
      <c r="VP1430" s="29"/>
      <c r="VQ1430" s="29"/>
      <c r="VR1430" s="29"/>
      <c r="VS1430" s="29"/>
      <c r="VT1430" s="29"/>
      <c r="VU1430" s="29"/>
      <c r="VV1430" s="29"/>
      <c r="VW1430" s="29"/>
      <c r="VX1430" s="29"/>
      <c r="VY1430" s="29"/>
      <c r="VZ1430" s="29"/>
      <c r="WA1430" s="29"/>
      <c r="WB1430" s="29"/>
    </row>
    <row r="1495" spans="1:600" x14ac:dyDescent="0.3">
      <c r="A1495" s="29"/>
      <c r="B1495" s="29"/>
      <c r="C1495" s="29"/>
      <c r="D1495" s="29"/>
      <c r="E1495" s="29"/>
      <c r="F1495" s="29"/>
      <c r="G1495" s="29"/>
      <c r="H1495" s="29"/>
      <c r="I1495" s="29"/>
      <c r="J1495" s="29"/>
      <c r="K1495" s="29"/>
      <c r="L1495" s="29"/>
      <c r="M1495" s="29"/>
      <c r="N1495" s="29"/>
      <c r="O1495" s="29"/>
      <c r="P1495" s="29"/>
      <c r="Q1495" s="29"/>
      <c r="R1495" s="29"/>
      <c r="S1495" s="29"/>
      <c r="T1495" s="29"/>
      <c r="U1495" s="29"/>
      <c r="V1495" s="29"/>
      <c r="W1495" s="29"/>
      <c r="X1495" s="29"/>
      <c r="Y1495" s="29"/>
      <c r="Z1495" s="29"/>
      <c r="AA1495" s="29"/>
      <c r="AB1495" s="29"/>
      <c r="AC1495" s="29"/>
      <c r="AD1495" s="29"/>
      <c r="AE1495" s="29"/>
      <c r="AF1495" s="29"/>
      <c r="AG1495" s="29"/>
      <c r="AH1495" s="29"/>
      <c r="AI1495" s="29"/>
      <c r="AJ1495" s="29"/>
      <c r="AK1495" s="29"/>
      <c r="AL1495" s="29"/>
      <c r="AM1495" s="29"/>
      <c r="AN1495" s="29"/>
      <c r="AO1495" s="29"/>
      <c r="AP1495" s="29"/>
      <c r="AQ1495" s="29"/>
      <c r="AR1495" s="29"/>
      <c r="AS1495" s="29"/>
      <c r="AT1495" s="29"/>
      <c r="AU1495" s="29"/>
      <c r="AV1495" s="29"/>
      <c r="AW1495" s="29"/>
      <c r="AX1495" s="29"/>
      <c r="AY1495" s="29"/>
      <c r="AZ1495" s="29"/>
      <c r="BA1495" s="29"/>
      <c r="BB1495" s="29"/>
      <c r="BC1495" s="29"/>
      <c r="BD1495" s="29"/>
      <c r="BE1495" s="29"/>
      <c r="BF1495" s="29"/>
      <c r="BG1495" s="29"/>
      <c r="BH1495" s="29"/>
      <c r="BI1495" s="29"/>
      <c r="BJ1495" s="29"/>
      <c r="BK1495" s="29"/>
      <c r="BL1495" s="29"/>
      <c r="BM1495" s="29"/>
      <c r="BN1495" s="29"/>
      <c r="BO1495" s="29"/>
      <c r="BP1495" s="29"/>
      <c r="BQ1495" s="29"/>
      <c r="BR1495" s="29"/>
      <c r="BS1495" s="29"/>
      <c r="BT1495" s="29"/>
      <c r="BU1495" s="29"/>
      <c r="BV1495" s="29"/>
      <c r="BW1495" s="29"/>
      <c r="BX1495" s="29"/>
      <c r="BY1495" s="29"/>
      <c r="BZ1495" s="29"/>
      <c r="CA1495" s="29"/>
      <c r="CB1495" s="29"/>
      <c r="CC1495" s="29"/>
      <c r="CD1495" s="29"/>
      <c r="CE1495" s="29"/>
      <c r="CF1495" s="29"/>
      <c r="CG1495" s="29"/>
      <c r="CH1495" s="29"/>
      <c r="CI1495" s="29"/>
      <c r="CJ1495" s="29"/>
      <c r="CK1495" s="29"/>
      <c r="CL1495" s="29"/>
      <c r="CM1495" s="29"/>
      <c r="CN1495" s="29"/>
      <c r="CO1495" s="29"/>
      <c r="CP1495" s="29"/>
      <c r="CQ1495" s="29"/>
      <c r="CR1495" s="29"/>
      <c r="CS1495" s="29"/>
      <c r="CT1495" s="29"/>
      <c r="CU1495" s="29"/>
      <c r="CV1495" s="29"/>
      <c r="CW1495" s="29"/>
      <c r="CX1495" s="29"/>
      <c r="CY1495" s="29"/>
      <c r="CZ1495" s="29"/>
      <c r="DA1495" s="29"/>
      <c r="DB1495" s="29"/>
      <c r="DC1495" s="29"/>
      <c r="DD1495" s="29"/>
      <c r="DE1495" s="29"/>
      <c r="DF1495" s="29"/>
      <c r="DG1495" s="29"/>
      <c r="DH1495" s="29"/>
      <c r="DI1495" s="29"/>
      <c r="DJ1495" s="29"/>
      <c r="DK1495" s="29"/>
      <c r="DL1495" s="29"/>
      <c r="DM1495" s="29"/>
      <c r="DN1495" s="29"/>
      <c r="DO1495" s="29"/>
      <c r="DP1495" s="29"/>
      <c r="DQ1495" s="29"/>
      <c r="DR1495" s="29"/>
      <c r="DS1495" s="29"/>
      <c r="DT1495" s="29"/>
      <c r="DU1495" s="29"/>
      <c r="DV1495" s="29"/>
      <c r="DW1495" s="29"/>
      <c r="DX1495" s="29"/>
      <c r="DY1495" s="29"/>
      <c r="DZ1495" s="29"/>
      <c r="EA1495" s="29"/>
      <c r="EB1495" s="29"/>
      <c r="EC1495" s="29"/>
      <c r="ED1495" s="29"/>
      <c r="EE1495" s="29"/>
      <c r="EF1495" s="29"/>
      <c r="EG1495" s="29"/>
      <c r="EH1495" s="29"/>
      <c r="EI1495" s="29"/>
      <c r="EJ1495" s="29"/>
      <c r="EK1495" s="29"/>
      <c r="EL1495" s="29"/>
      <c r="EM1495" s="29"/>
      <c r="EN1495" s="29"/>
      <c r="EO1495" s="29"/>
      <c r="EP1495" s="29"/>
      <c r="EQ1495" s="29"/>
      <c r="ER1495" s="29"/>
      <c r="ES1495" s="29"/>
      <c r="ET1495" s="29"/>
      <c r="EU1495" s="29"/>
      <c r="EV1495" s="29"/>
      <c r="EW1495" s="29"/>
      <c r="EX1495" s="29"/>
      <c r="EY1495" s="29"/>
      <c r="EZ1495" s="29"/>
      <c r="FA1495" s="29"/>
      <c r="FB1495" s="29"/>
      <c r="FC1495" s="29"/>
      <c r="FD1495" s="29"/>
      <c r="FE1495" s="29"/>
      <c r="FF1495" s="29"/>
      <c r="FG1495" s="29"/>
      <c r="FH1495" s="29"/>
      <c r="FI1495" s="29"/>
      <c r="FJ1495" s="29"/>
      <c r="FK1495" s="29"/>
      <c r="FL1495" s="29"/>
      <c r="FM1495" s="29"/>
      <c r="FN1495" s="29"/>
      <c r="FO1495" s="29"/>
      <c r="FP1495" s="29"/>
      <c r="FQ1495" s="29"/>
      <c r="FR1495" s="29"/>
      <c r="FS1495" s="29"/>
      <c r="FT1495" s="29"/>
      <c r="FU1495" s="29"/>
      <c r="FV1495" s="29"/>
      <c r="FW1495" s="29"/>
      <c r="FX1495" s="29"/>
      <c r="FY1495" s="29"/>
      <c r="FZ1495" s="29"/>
      <c r="GA1495" s="29"/>
      <c r="GB1495" s="29"/>
      <c r="GC1495" s="29"/>
      <c r="GD1495" s="29"/>
      <c r="GE1495" s="29"/>
      <c r="GF1495" s="29"/>
      <c r="GG1495" s="29"/>
      <c r="GH1495" s="29"/>
      <c r="GI1495" s="29"/>
      <c r="GJ1495" s="29"/>
      <c r="GK1495" s="29"/>
      <c r="GL1495" s="29"/>
      <c r="GM1495" s="29"/>
      <c r="GN1495" s="29"/>
      <c r="GO1495" s="29"/>
      <c r="GP1495" s="29"/>
      <c r="GQ1495" s="29"/>
      <c r="GR1495" s="29"/>
      <c r="GS1495" s="29"/>
      <c r="GT1495" s="29"/>
      <c r="GU1495" s="29"/>
      <c r="GV1495" s="29"/>
      <c r="GW1495" s="29"/>
      <c r="GX1495" s="29"/>
      <c r="GY1495" s="29"/>
      <c r="GZ1495" s="29"/>
      <c r="HA1495" s="29"/>
      <c r="HB1495" s="29"/>
      <c r="HC1495" s="29"/>
      <c r="HD1495" s="29"/>
      <c r="HE1495" s="29"/>
      <c r="HF1495" s="29"/>
      <c r="HG1495" s="29"/>
      <c r="HH1495" s="29"/>
      <c r="HI1495" s="29"/>
      <c r="HJ1495" s="29"/>
      <c r="HK1495" s="29"/>
      <c r="HL1495" s="29"/>
      <c r="HM1495" s="29"/>
      <c r="HN1495" s="29"/>
      <c r="HO1495" s="29"/>
      <c r="HP1495" s="29"/>
      <c r="HQ1495" s="29"/>
      <c r="HR1495" s="29"/>
      <c r="HS1495" s="29"/>
      <c r="HT1495" s="29"/>
      <c r="HU1495" s="29"/>
      <c r="HV1495" s="29"/>
      <c r="HW1495" s="29"/>
      <c r="HX1495" s="29"/>
      <c r="HY1495" s="29"/>
      <c r="HZ1495" s="29"/>
      <c r="IA1495" s="29"/>
      <c r="IB1495" s="29"/>
      <c r="IC1495" s="29"/>
      <c r="ID1495" s="29"/>
      <c r="IE1495" s="29"/>
      <c r="IF1495" s="29"/>
      <c r="IG1495" s="29"/>
      <c r="IH1495" s="29"/>
      <c r="II1495" s="29"/>
      <c r="IJ1495" s="29"/>
      <c r="IK1495" s="29"/>
      <c r="IL1495" s="29"/>
      <c r="IM1495" s="29"/>
      <c r="IN1495" s="29"/>
      <c r="IO1495" s="29"/>
      <c r="IP1495" s="29"/>
      <c r="IQ1495" s="29"/>
      <c r="IR1495" s="29"/>
      <c r="IS1495" s="29"/>
      <c r="IT1495" s="29"/>
      <c r="IU1495" s="29"/>
      <c r="IV1495" s="29"/>
      <c r="IW1495" s="29"/>
      <c r="IX1495" s="29"/>
      <c r="IY1495" s="29"/>
      <c r="IZ1495" s="29"/>
      <c r="JA1495" s="29"/>
      <c r="JB1495" s="29"/>
      <c r="JC1495" s="29"/>
      <c r="JD1495" s="29"/>
      <c r="JE1495" s="29"/>
      <c r="JF1495" s="29"/>
      <c r="JG1495" s="29"/>
      <c r="JH1495" s="29"/>
      <c r="JI1495" s="29"/>
      <c r="JJ1495" s="29"/>
      <c r="JK1495" s="29"/>
      <c r="JL1495" s="29"/>
      <c r="JM1495" s="29"/>
      <c r="JN1495" s="29"/>
      <c r="JO1495" s="29"/>
      <c r="JP1495" s="29"/>
      <c r="JQ1495" s="29"/>
      <c r="JR1495" s="29"/>
      <c r="JS1495" s="29"/>
      <c r="JT1495" s="29"/>
      <c r="JU1495" s="29"/>
      <c r="JV1495" s="29"/>
      <c r="JW1495" s="29"/>
      <c r="JX1495" s="29"/>
      <c r="JY1495" s="29"/>
      <c r="JZ1495" s="29"/>
      <c r="KA1495" s="29"/>
      <c r="KB1495" s="29"/>
      <c r="KC1495" s="29"/>
      <c r="KD1495" s="29"/>
      <c r="KE1495" s="29"/>
      <c r="KF1495" s="29"/>
      <c r="KG1495" s="29"/>
      <c r="KH1495" s="29"/>
      <c r="KI1495" s="29"/>
      <c r="KJ1495" s="29"/>
      <c r="KK1495" s="29"/>
      <c r="KL1495" s="29"/>
      <c r="KM1495" s="29"/>
      <c r="KN1495" s="29"/>
      <c r="KO1495" s="29"/>
      <c r="KP1495" s="29"/>
      <c r="KQ1495" s="29"/>
      <c r="KR1495" s="29"/>
      <c r="KS1495" s="29"/>
      <c r="KT1495" s="29"/>
      <c r="KU1495" s="29"/>
      <c r="KV1495" s="29"/>
      <c r="KW1495" s="29"/>
      <c r="KX1495" s="29"/>
      <c r="KY1495" s="29"/>
      <c r="KZ1495" s="29"/>
      <c r="LA1495" s="29"/>
      <c r="LB1495" s="29"/>
      <c r="LC1495" s="29"/>
      <c r="LD1495" s="29"/>
      <c r="LE1495" s="29"/>
      <c r="LF1495" s="29"/>
      <c r="LG1495" s="29"/>
      <c r="LH1495" s="29"/>
      <c r="LI1495" s="29"/>
      <c r="LJ1495" s="29"/>
      <c r="LK1495" s="29"/>
      <c r="LL1495" s="29"/>
      <c r="LM1495" s="29"/>
      <c r="LN1495" s="29"/>
      <c r="LO1495" s="29"/>
      <c r="LP1495" s="29"/>
      <c r="LQ1495" s="29"/>
      <c r="LR1495" s="29"/>
      <c r="LS1495" s="29"/>
      <c r="LT1495" s="29"/>
      <c r="LU1495" s="29"/>
      <c r="LV1495" s="29"/>
      <c r="LW1495" s="29"/>
      <c r="LX1495" s="29"/>
      <c r="LY1495" s="29"/>
      <c r="LZ1495" s="29"/>
      <c r="MA1495" s="29"/>
      <c r="MB1495" s="29"/>
      <c r="MC1495" s="29"/>
      <c r="MD1495" s="29"/>
      <c r="ME1495" s="29"/>
      <c r="MF1495" s="29"/>
      <c r="MG1495" s="29"/>
      <c r="MH1495" s="29"/>
      <c r="MI1495" s="29"/>
      <c r="MJ1495" s="29"/>
      <c r="MK1495" s="29"/>
      <c r="ML1495" s="29"/>
      <c r="MM1495" s="29"/>
      <c r="MN1495" s="29"/>
      <c r="MO1495" s="29"/>
      <c r="MP1495" s="29"/>
      <c r="MQ1495" s="29"/>
      <c r="MR1495" s="29"/>
      <c r="MS1495" s="29"/>
      <c r="MT1495" s="29"/>
      <c r="MU1495" s="29"/>
      <c r="MV1495" s="29"/>
      <c r="MW1495" s="29"/>
      <c r="MX1495" s="29"/>
      <c r="MY1495" s="29"/>
      <c r="MZ1495" s="29"/>
      <c r="NA1495" s="29"/>
      <c r="NB1495" s="29"/>
      <c r="NC1495" s="29"/>
      <c r="ND1495" s="29"/>
      <c r="NE1495" s="29"/>
      <c r="NF1495" s="29"/>
      <c r="NG1495" s="29"/>
      <c r="NH1495" s="29"/>
      <c r="NI1495" s="29"/>
      <c r="NJ1495" s="29"/>
      <c r="NK1495" s="29"/>
      <c r="NL1495" s="29"/>
      <c r="NM1495" s="29"/>
      <c r="NN1495" s="29"/>
      <c r="NO1495" s="29"/>
      <c r="NP1495" s="29"/>
      <c r="NQ1495" s="29"/>
      <c r="NR1495" s="29"/>
      <c r="NS1495" s="29"/>
      <c r="NT1495" s="29"/>
      <c r="NU1495" s="29"/>
      <c r="NV1495" s="29"/>
      <c r="NW1495" s="29"/>
      <c r="NX1495" s="29"/>
      <c r="NY1495" s="29"/>
      <c r="NZ1495" s="29"/>
      <c r="OA1495" s="29"/>
      <c r="OB1495" s="29"/>
      <c r="OC1495" s="29"/>
      <c r="OD1495" s="29"/>
      <c r="OE1495" s="29"/>
      <c r="OF1495" s="29"/>
      <c r="OG1495" s="29"/>
      <c r="OH1495" s="29"/>
      <c r="OI1495" s="29"/>
      <c r="OJ1495" s="29"/>
      <c r="OK1495" s="29"/>
      <c r="OL1495" s="29"/>
      <c r="OM1495" s="29"/>
      <c r="ON1495" s="29"/>
      <c r="OO1495" s="29"/>
      <c r="OP1495" s="29"/>
      <c r="OQ1495" s="29"/>
      <c r="OR1495" s="29"/>
      <c r="OS1495" s="29"/>
      <c r="OT1495" s="29"/>
      <c r="OU1495" s="29"/>
      <c r="OV1495" s="29"/>
      <c r="OW1495" s="29"/>
      <c r="OX1495" s="29"/>
      <c r="OY1495" s="29"/>
      <c r="OZ1495" s="29"/>
      <c r="PA1495" s="29"/>
      <c r="PB1495" s="29"/>
      <c r="PC1495" s="29"/>
      <c r="PD1495" s="29"/>
      <c r="PE1495" s="29"/>
      <c r="PF1495" s="29"/>
      <c r="PG1495" s="29"/>
      <c r="PH1495" s="29"/>
      <c r="PI1495" s="29"/>
      <c r="PJ1495" s="29"/>
      <c r="PK1495" s="29"/>
      <c r="PL1495" s="29"/>
      <c r="PM1495" s="29"/>
      <c r="PN1495" s="29"/>
      <c r="PO1495" s="29"/>
      <c r="PP1495" s="29"/>
      <c r="PQ1495" s="29"/>
      <c r="PR1495" s="29"/>
      <c r="PS1495" s="29"/>
      <c r="PT1495" s="29"/>
      <c r="PU1495" s="29"/>
      <c r="PV1495" s="29"/>
      <c r="PW1495" s="29"/>
      <c r="PX1495" s="29"/>
      <c r="PY1495" s="29"/>
      <c r="PZ1495" s="29"/>
      <c r="QA1495" s="29"/>
      <c r="QB1495" s="29"/>
      <c r="QC1495" s="29"/>
      <c r="QD1495" s="29"/>
      <c r="QE1495" s="29"/>
      <c r="QF1495" s="29"/>
      <c r="QG1495" s="29"/>
      <c r="QH1495" s="29"/>
      <c r="QI1495" s="29"/>
      <c r="QJ1495" s="29"/>
      <c r="QK1495" s="29"/>
      <c r="QL1495" s="29"/>
      <c r="QM1495" s="29"/>
      <c r="QN1495" s="29"/>
      <c r="QO1495" s="29"/>
      <c r="QP1495" s="29"/>
      <c r="QQ1495" s="29"/>
      <c r="QR1495" s="29"/>
      <c r="QS1495" s="29"/>
      <c r="QT1495" s="29"/>
      <c r="QU1495" s="29"/>
      <c r="QV1495" s="29"/>
      <c r="QW1495" s="29"/>
      <c r="QX1495" s="29"/>
      <c r="QY1495" s="29"/>
      <c r="QZ1495" s="29"/>
      <c r="RA1495" s="29"/>
      <c r="RB1495" s="29"/>
      <c r="RC1495" s="29"/>
      <c r="RD1495" s="29"/>
      <c r="RE1495" s="29"/>
      <c r="RF1495" s="29"/>
      <c r="RG1495" s="29"/>
      <c r="RH1495" s="29"/>
      <c r="RI1495" s="29"/>
      <c r="RJ1495" s="29"/>
      <c r="RK1495" s="29"/>
      <c r="RL1495" s="29"/>
      <c r="RM1495" s="29"/>
      <c r="RN1495" s="29"/>
      <c r="RO1495" s="29"/>
      <c r="RP1495" s="29"/>
      <c r="RQ1495" s="29"/>
      <c r="RR1495" s="29"/>
      <c r="RS1495" s="29"/>
      <c r="RT1495" s="29"/>
      <c r="RU1495" s="29"/>
      <c r="RV1495" s="29"/>
      <c r="RW1495" s="29"/>
      <c r="RX1495" s="29"/>
      <c r="RY1495" s="29"/>
      <c r="RZ1495" s="29"/>
      <c r="SA1495" s="29"/>
      <c r="SB1495" s="29"/>
      <c r="SC1495" s="29"/>
      <c r="SD1495" s="29"/>
      <c r="SE1495" s="29"/>
      <c r="SF1495" s="29"/>
      <c r="SG1495" s="29"/>
      <c r="SH1495" s="29"/>
      <c r="SI1495" s="29"/>
      <c r="SJ1495" s="29"/>
      <c r="SK1495" s="29"/>
      <c r="SL1495" s="29"/>
      <c r="SM1495" s="29"/>
      <c r="SN1495" s="29"/>
      <c r="SO1495" s="29"/>
      <c r="SP1495" s="29"/>
      <c r="SQ1495" s="29"/>
      <c r="SR1495" s="29"/>
      <c r="SS1495" s="29"/>
      <c r="ST1495" s="29"/>
      <c r="SU1495" s="29"/>
      <c r="SV1495" s="29"/>
      <c r="SW1495" s="29"/>
      <c r="SX1495" s="29"/>
      <c r="SY1495" s="29"/>
      <c r="SZ1495" s="29"/>
      <c r="TA1495" s="29"/>
      <c r="TB1495" s="29"/>
      <c r="TC1495" s="29"/>
      <c r="TD1495" s="29"/>
      <c r="TE1495" s="29"/>
      <c r="TF1495" s="29"/>
      <c r="TG1495" s="29"/>
      <c r="TH1495" s="29"/>
      <c r="TI1495" s="29"/>
      <c r="TJ1495" s="29"/>
      <c r="TK1495" s="29"/>
      <c r="TL1495" s="29"/>
      <c r="TM1495" s="29"/>
      <c r="TN1495" s="29"/>
      <c r="TO1495" s="29"/>
      <c r="TP1495" s="29"/>
      <c r="TQ1495" s="29"/>
      <c r="TR1495" s="29"/>
      <c r="TS1495" s="29"/>
      <c r="TT1495" s="29"/>
      <c r="TU1495" s="29"/>
      <c r="TV1495" s="29"/>
      <c r="TW1495" s="29"/>
      <c r="TX1495" s="29"/>
      <c r="TY1495" s="29"/>
      <c r="TZ1495" s="29"/>
      <c r="UA1495" s="29"/>
      <c r="UB1495" s="29"/>
      <c r="UC1495" s="29"/>
      <c r="UD1495" s="29"/>
      <c r="UE1495" s="29"/>
      <c r="UF1495" s="29"/>
      <c r="UG1495" s="29"/>
      <c r="UH1495" s="29"/>
      <c r="UI1495" s="29"/>
      <c r="UJ1495" s="29"/>
      <c r="UK1495" s="29"/>
      <c r="UL1495" s="29"/>
      <c r="UM1495" s="29"/>
      <c r="UN1495" s="29"/>
      <c r="UO1495" s="29"/>
      <c r="UP1495" s="29"/>
      <c r="UQ1495" s="29"/>
      <c r="UR1495" s="29"/>
      <c r="US1495" s="29"/>
      <c r="UT1495" s="29"/>
      <c r="UU1495" s="29"/>
      <c r="UV1495" s="29"/>
      <c r="UW1495" s="29"/>
      <c r="UX1495" s="29"/>
      <c r="UY1495" s="29"/>
      <c r="UZ1495" s="29"/>
      <c r="VA1495" s="29"/>
      <c r="VB1495" s="29"/>
      <c r="VC1495" s="29"/>
      <c r="VD1495" s="29"/>
      <c r="VE1495" s="29"/>
      <c r="VF1495" s="29"/>
      <c r="VG1495" s="29"/>
      <c r="VH1495" s="29"/>
      <c r="VI1495" s="29"/>
      <c r="VJ1495" s="29"/>
      <c r="VK1495" s="29"/>
      <c r="VL1495" s="29"/>
      <c r="VM1495" s="29"/>
      <c r="VN1495" s="29"/>
      <c r="VO1495" s="29"/>
      <c r="VP1495" s="29"/>
      <c r="VQ1495" s="29"/>
      <c r="VR1495" s="29"/>
      <c r="VS1495" s="29"/>
      <c r="VT1495" s="29"/>
      <c r="VU1495" s="29"/>
      <c r="VV1495" s="29"/>
      <c r="VW1495" s="29"/>
      <c r="VX1495" s="29"/>
      <c r="VY1495" s="29"/>
      <c r="VZ1495" s="29"/>
      <c r="WA1495" s="29"/>
      <c r="WB1495" s="29"/>
    </row>
    <row r="1560" spans="1:600" x14ac:dyDescent="0.3">
      <c r="A1560" s="29"/>
      <c r="B1560" s="29"/>
      <c r="C1560" s="29"/>
      <c r="D1560" s="29"/>
      <c r="E1560" s="29"/>
      <c r="F1560" s="29"/>
      <c r="G1560" s="29"/>
      <c r="H1560" s="29"/>
      <c r="I1560" s="29"/>
      <c r="J1560" s="29"/>
      <c r="K1560" s="29"/>
      <c r="L1560" s="29"/>
      <c r="M1560" s="29"/>
      <c r="N1560" s="29"/>
      <c r="O1560" s="29"/>
      <c r="P1560" s="29"/>
      <c r="Q1560" s="29"/>
      <c r="R1560" s="29"/>
      <c r="S1560" s="29"/>
      <c r="T1560" s="29"/>
      <c r="U1560" s="29"/>
      <c r="V1560" s="29"/>
      <c r="W1560" s="29"/>
      <c r="X1560" s="29"/>
      <c r="Y1560" s="29"/>
      <c r="Z1560" s="29"/>
      <c r="AA1560" s="29"/>
      <c r="AB1560" s="29"/>
      <c r="AC1560" s="29"/>
      <c r="AD1560" s="29"/>
      <c r="AE1560" s="29"/>
      <c r="AF1560" s="29"/>
      <c r="AG1560" s="29"/>
      <c r="AH1560" s="29"/>
      <c r="AI1560" s="29"/>
      <c r="AJ1560" s="29"/>
      <c r="AK1560" s="29"/>
      <c r="AL1560" s="29"/>
      <c r="AM1560" s="29"/>
      <c r="AN1560" s="29"/>
      <c r="AO1560" s="29"/>
      <c r="AP1560" s="29"/>
      <c r="AQ1560" s="29"/>
      <c r="AR1560" s="29"/>
      <c r="AS1560" s="29"/>
      <c r="AT1560" s="29"/>
      <c r="AU1560" s="29"/>
      <c r="AV1560" s="29"/>
      <c r="AW1560" s="29"/>
      <c r="AX1560" s="29"/>
      <c r="AY1560" s="29"/>
      <c r="AZ1560" s="29"/>
      <c r="BA1560" s="29"/>
      <c r="BB1560" s="29"/>
      <c r="BC1560" s="29"/>
      <c r="BD1560" s="29"/>
      <c r="BE1560" s="29"/>
      <c r="BF1560" s="29"/>
      <c r="BG1560" s="29"/>
      <c r="BH1560" s="29"/>
      <c r="BI1560" s="29"/>
      <c r="BJ1560" s="29"/>
      <c r="BK1560" s="29"/>
      <c r="BL1560" s="29"/>
      <c r="BM1560" s="29"/>
      <c r="BN1560" s="29"/>
      <c r="BO1560" s="29"/>
      <c r="BP1560" s="29"/>
      <c r="BQ1560" s="29"/>
      <c r="BR1560" s="29"/>
      <c r="BS1560" s="29"/>
      <c r="BT1560" s="29"/>
      <c r="BU1560" s="29"/>
      <c r="BV1560" s="29"/>
      <c r="BW1560" s="29"/>
      <c r="BX1560" s="29"/>
      <c r="BY1560" s="29"/>
      <c r="BZ1560" s="29"/>
      <c r="CA1560" s="29"/>
      <c r="CB1560" s="29"/>
      <c r="CC1560" s="29"/>
      <c r="CD1560" s="29"/>
      <c r="CE1560" s="29"/>
      <c r="CF1560" s="29"/>
      <c r="CG1560" s="29"/>
      <c r="CH1560" s="29"/>
      <c r="CI1560" s="29"/>
      <c r="CJ1560" s="29"/>
      <c r="CK1560" s="29"/>
      <c r="CL1560" s="29"/>
      <c r="CM1560" s="29"/>
      <c r="CN1560" s="29"/>
      <c r="CO1560" s="29"/>
      <c r="CP1560" s="29"/>
      <c r="CQ1560" s="29"/>
      <c r="CR1560" s="29"/>
      <c r="CS1560" s="29"/>
      <c r="CT1560" s="29"/>
      <c r="CU1560" s="29"/>
      <c r="CV1560" s="29"/>
      <c r="CW1560" s="29"/>
      <c r="CX1560" s="29"/>
      <c r="CY1560" s="29"/>
      <c r="CZ1560" s="29"/>
      <c r="DA1560" s="29"/>
      <c r="DB1560" s="29"/>
      <c r="DC1560" s="29"/>
      <c r="DD1560" s="29"/>
      <c r="DE1560" s="29"/>
      <c r="DF1560" s="29"/>
      <c r="DG1560" s="29"/>
      <c r="DH1560" s="29"/>
      <c r="DI1560" s="29"/>
      <c r="DJ1560" s="29"/>
      <c r="DK1560" s="29"/>
      <c r="DL1560" s="29"/>
      <c r="DM1560" s="29"/>
      <c r="DN1560" s="29"/>
      <c r="DO1560" s="29"/>
      <c r="DP1560" s="29"/>
      <c r="DQ1560" s="29"/>
      <c r="DR1560" s="29"/>
      <c r="DS1560" s="29"/>
      <c r="DT1560" s="29"/>
      <c r="DU1560" s="29"/>
      <c r="DV1560" s="29"/>
      <c r="DW1560" s="29"/>
      <c r="DX1560" s="29"/>
      <c r="DY1560" s="29"/>
      <c r="DZ1560" s="29"/>
      <c r="EA1560" s="29"/>
      <c r="EB1560" s="29"/>
      <c r="EC1560" s="29"/>
      <c r="ED1560" s="29"/>
      <c r="EE1560" s="29"/>
      <c r="EF1560" s="29"/>
      <c r="EG1560" s="29"/>
      <c r="EH1560" s="29"/>
      <c r="EI1560" s="29"/>
      <c r="EJ1560" s="29"/>
      <c r="EK1560" s="29"/>
      <c r="EL1560" s="29"/>
      <c r="EM1560" s="29"/>
      <c r="EN1560" s="29"/>
      <c r="EO1560" s="29"/>
      <c r="EP1560" s="29"/>
      <c r="EQ1560" s="29"/>
      <c r="ER1560" s="29"/>
      <c r="ES1560" s="29"/>
      <c r="ET1560" s="29"/>
      <c r="EU1560" s="29"/>
      <c r="EV1560" s="29"/>
      <c r="EW1560" s="29"/>
      <c r="EX1560" s="29"/>
      <c r="EY1560" s="29"/>
      <c r="EZ1560" s="29"/>
      <c r="FA1560" s="29"/>
      <c r="FB1560" s="29"/>
      <c r="FC1560" s="29"/>
      <c r="FD1560" s="29"/>
      <c r="FE1560" s="29"/>
      <c r="FF1560" s="29"/>
      <c r="FG1560" s="29"/>
      <c r="FH1560" s="29"/>
      <c r="FI1560" s="29"/>
      <c r="FJ1560" s="29"/>
      <c r="FK1560" s="29"/>
      <c r="FL1560" s="29"/>
      <c r="FM1560" s="29"/>
      <c r="FN1560" s="29"/>
      <c r="FO1560" s="29"/>
      <c r="FP1560" s="29"/>
      <c r="FQ1560" s="29"/>
      <c r="FR1560" s="29"/>
      <c r="FS1560" s="29"/>
      <c r="FT1560" s="29"/>
      <c r="FU1560" s="29"/>
      <c r="FV1560" s="29"/>
      <c r="FW1560" s="29"/>
      <c r="FX1560" s="29"/>
      <c r="FY1560" s="29"/>
      <c r="FZ1560" s="29"/>
      <c r="GA1560" s="29"/>
      <c r="GB1560" s="29"/>
      <c r="GC1560" s="29"/>
      <c r="GD1560" s="29"/>
      <c r="GE1560" s="29"/>
      <c r="GF1560" s="29"/>
      <c r="GG1560" s="29"/>
      <c r="GH1560" s="29"/>
      <c r="GI1560" s="29"/>
      <c r="GJ1560" s="29"/>
      <c r="GK1560" s="29"/>
      <c r="GL1560" s="29"/>
      <c r="GM1560" s="29"/>
      <c r="GN1560" s="29"/>
      <c r="GO1560" s="29"/>
      <c r="GP1560" s="29"/>
      <c r="GQ1560" s="29"/>
      <c r="GR1560" s="29"/>
      <c r="GS1560" s="29"/>
      <c r="GT1560" s="29"/>
      <c r="GU1560" s="29"/>
      <c r="GV1560" s="29"/>
      <c r="GW1560" s="29"/>
      <c r="GX1560" s="29"/>
      <c r="GY1560" s="29"/>
      <c r="GZ1560" s="29"/>
      <c r="HA1560" s="29"/>
      <c r="HB1560" s="29"/>
      <c r="HC1560" s="29"/>
      <c r="HD1560" s="29"/>
      <c r="HE1560" s="29"/>
      <c r="HF1560" s="29"/>
      <c r="HG1560" s="29"/>
      <c r="HH1560" s="29"/>
      <c r="HI1560" s="29"/>
      <c r="HJ1560" s="29"/>
      <c r="HK1560" s="29"/>
      <c r="HL1560" s="29"/>
      <c r="HM1560" s="29"/>
      <c r="HN1560" s="29"/>
      <c r="HO1560" s="29"/>
      <c r="HP1560" s="29"/>
      <c r="HQ1560" s="29"/>
      <c r="HR1560" s="29"/>
      <c r="HS1560" s="29"/>
      <c r="HT1560" s="29"/>
      <c r="HU1560" s="29"/>
      <c r="HV1560" s="29"/>
      <c r="HW1560" s="29"/>
      <c r="HX1560" s="29"/>
      <c r="HY1560" s="29"/>
      <c r="HZ1560" s="29"/>
      <c r="IA1560" s="29"/>
      <c r="IB1560" s="29"/>
      <c r="IC1560" s="29"/>
      <c r="ID1560" s="29"/>
      <c r="IE1560" s="29"/>
      <c r="IF1560" s="29"/>
      <c r="IG1560" s="29"/>
      <c r="IH1560" s="29"/>
      <c r="II1560" s="29"/>
      <c r="IJ1560" s="29"/>
      <c r="IK1560" s="29"/>
      <c r="IL1560" s="29"/>
      <c r="IM1560" s="29"/>
      <c r="IN1560" s="29"/>
      <c r="IO1560" s="29"/>
      <c r="IP1560" s="29"/>
      <c r="IQ1560" s="29"/>
      <c r="IR1560" s="29"/>
      <c r="IS1560" s="29"/>
      <c r="IT1560" s="29"/>
      <c r="IU1560" s="29"/>
      <c r="IV1560" s="29"/>
      <c r="IW1560" s="29"/>
      <c r="IX1560" s="29"/>
      <c r="IY1560" s="29"/>
      <c r="IZ1560" s="29"/>
      <c r="JA1560" s="29"/>
      <c r="JB1560" s="29"/>
      <c r="JC1560" s="29"/>
      <c r="JD1560" s="29"/>
      <c r="JE1560" s="29"/>
      <c r="JF1560" s="29"/>
      <c r="JG1560" s="29"/>
      <c r="JH1560" s="29"/>
      <c r="JI1560" s="29"/>
      <c r="JJ1560" s="29"/>
      <c r="JK1560" s="29"/>
      <c r="JL1560" s="29"/>
      <c r="JM1560" s="29"/>
      <c r="JN1560" s="29"/>
      <c r="JO1560" s="29"/>
      <c r="JP1560" s="29"/>
      <c r="JQ1560" s="29"/>
      <c r="JR1560" s="29"/>
      <c r="JS1560" s="29"/>
      <c r="JT1560" s="29"/>
      <c r="JU1560" s="29"/>
      <c r="JV1560" s="29"/>
      <c r="JW1560" s="29"/>
      <c r="JX1560" s="29"/>
      <c r="JY1560" s="29"/>
      <c r="JZ1560" s="29"/>
      <c r="KA1560" s="29"/>
      <c r="KB1560" s="29"/>
      <c r="KC1560" s="29"/>
      <c r="KD1560" s="29"/>
      <c r="KE1560" s="29"/>
      <c r="KF1560" s="29"/>
      <c r="KG1560" s="29"/>
      <c r="KH1560" s="29"/>
      <c r="KI1560" s="29"/>
      <c r="KJ1560" s="29"/>
      <c r="KK1560" s="29"/>
      <c r="KL1560" s="29"/>
      <c r="KM1560" s="29"/>
      <c r="KN1560" s="29"/>
      <c r="KO1560" s="29"/>
      <c r="KP1560" s="29"/>
      <c r="KQ1560" s="29"/>
      <c r="KR1560" s="29"/>
      <c r="KS1560" s="29"/>
      <c r="KT1560" s="29"/>
      <c r="KU1560" s="29"/>
      <c r="KV1560" s="29"/>
      <c r="KW1560" s="29"/>
      <c r="KX1560" s="29"/>
      <c r="KY1560" s="29"/>
      <c r="KZ1560" s="29"/>
      <c r="LA1560" s="29"/>
      <c r="LB1560" s="29"/>
      <c r="LC1560" s="29"/>
      <c r="LD1560" s="29"/>
      <c r="LE1560" s="29"/>
      <c r="LF1560" s="29"/>
      <c r="LG1560" s="29"/>
      <c r="LH1560" s="29"/>
      <c r="LI1560" s="29"/>
      <c r="LJ1560" s="29"/>
      <c r="LK1560" s="29"/>
      <c r="LL1560" s="29"/>
      <c r="LM1560" s="29"/>
      <c r="LN1560" s="29"/>
      <c r="LO1560" s="29"/>
      <c r="LP1560" s="29"/>
      <c r="LQ1560" s="29"/>
      <c r="LR1560" s="29"/>
      <c r="LS1560" s="29"/>
      <c r="LT1560" s="29"/>
      <c r="LU1560" s="29"/>
      <c r="LV1560" s="29"/>
      <c r="LW1560" s="29"/>
      <c r="LX1560" s="29"/>
      <c r="LY1560" s="29"/>
      <c r="LZ1560" s="29"/>
      <c r="MA1560" s="29"/>
      <c r="MB1560" s="29"/>
      <c r="MC1560" s="29"/>
      <c r="MD1560" s="29"/>
      <c r="ME1560" s="29"/>
      <c r="MF1560" s="29"/>
      <c r="MG1560" s="29"/>
      <c r="MH1560" s="29"/>
      <c r="MI1560" s="29"/>
      <c r="MJ1560" s="29"/>
      <c r="MK1560" s="29"/>
      <c r="ML1560" s="29"/>
      <c r="MM1560" s="29"/>
      <c r="MN1560" s="29"/>
      <c r="MO1560" s="29"/>
      <c r="MP1560" s="29"/>
      <c r="MQ1560" s="29"/>
      <c r="MR1560" s="29"/>
      <c r="MS1560" s="29"/>
      <c r="MT1560" s="29"/>
      <c r="MU1560" s="29"/>
      <c r="MV1560" s="29"/>
      <c r="MW1560" s="29"/>
      <c r="MX1560" s="29"/>
      <c r="MY1560" s="29"/>
      <c r="MZ1560" s="29"/>
      <c r="NA1560" s="29"/>
      <c r="NB1560" s="29"/>
      <c r="NC1560" s="29"/>
      <c r="ND1560" s="29"/>
      <c r="NE1560" s="29"/>
      <c r="NF1560" s="29"/>
      <c r="NG1560" s="29"/>
      <c r="NH1560" s="29"/>
      <c r="NI1560" s="29"/>
      <c r="NJ1560" s="29"/>
      <c r="NK1560" s="29"/>
      <c r="NL1560" s="29"/>
      <c r="NM1560" s="29"/>
      <c r="NN1560" s="29"/>
      <c r="NO1560" s="29"/>
      <c r="NP1560" s="29"/>
      <c r="NQ1560" s="29"/>
      <c r="NR1560" s="29"/>
      <c r="NS1560" s="29"/>
      <c r="NT1560" s="29"/>
      <c r="NU1560" s="29"/>
      <c r="NV1560" s="29"/>
      <c r="NW1560" s="29"/>
      <c r="NX1560" s="29"/>
      <c r="NY1560" s="29"/>
      <c r="NZ1560" s="29"/>
      <c r="OA1560" s="29"/>
      <c r="OB1560" s="29"/>
      <c r="OC1560" s="29"/>
      <c r="OD1560" s="29"/>
      <c r="OE1560" s="29"/>
      <c r="OF1560" s="29"/>
      <c r="OG1560" s="29"/>
      <c r="OH1560" s="29"/>
      <c r="OI1560" s="29"/>
      <c r="OJ1560" s="29"/>
      <c r="OK1560" s="29"/>
      <c r="OL1560" s="29"/>
      <c r="OM1560" s="29"/>
      <c r="ON1560" s="29"/>
      <c r="OO1560" s="29"/>
      <c r="OP1560" s="29"/>
      <c r="OQ1560" s="29"/>
      <c r="OR1560" s="29"/>
      <c r="OS1560" s="29"/>
      <c r="OT1560" s="29"/>
      <c r="OU1560" s="29"/>
      <c r="OV1560" s="29"/>
      <c r="OW1560" s="29"/>
      <c r="OX1560" s="29"/>
      <c r="OY1560" s="29"/>
      <c r="OZ1560" s="29"/>
      <c r="PA1560" s="29"/>
      <c r="PB1560" s="29"/>
      <c r="PC1560" s="29"/>
      <c r="PD1560" s="29"/>
      <c r="PE1560" s="29"/>
      <c r="PF1560" s="29"/>
      <c r="PG1560" s="29"/>
      <c r="PH1560" s="29"/>
      <c r="PI1560" s="29"/>
      <c r="PJ1560" s="29"/>
      <c r="PK1560" s="29"/>
      <c r="PL1560" s="29"/>
      <c r="PM1560" s="29"/>
      <c r="PN1560" s="29"/>
      <c r="PO1560" s="29"/>
      <c r="PP1560" s="29"/>
      <c r="PQ1560" s="29"/>
      <c r="PR1560" s="29"/>
      <c r="PS1560" s="29"/>
      <c r="PT1560" s="29"/>
      <c r="PU1560" s="29"/>
      <c r="PV1560" s="29"/>
      <c r="PW1560" s="29"/>
      <c r="PX1560" s="29"/>
      <c r="PY1560" s="29"/>
      <c r="PZ1560" s="29"/>
      <c r="QA1560" s="29"/>
      <c r="QB1560" s="29"/>
      <c r="QC1560" s="29"/>
      <c r="QD1560" s="29"/>
      <c r="QE1560" s="29"/>
      <c r="QF1560" s="29"/>
      <c r="QG1560" s="29"/>
      <c r="QH1560" s="29"/>
      <c r="QI1560" s="29"/>
      <c r="QJ1560" s="29"/>
      <c r="QK1560" s="29"/>
      <c r="QL1560" s="29"/>
      <c r="QM1560" s="29"/>
      <c r="QN1560" s="29"/>
      <c r="QO1560" s="29"/>
      <c r="QP1560" s="29"/>
      <c r="QQ1560" s="29"/>
      <c r="QR1560" s="29"/>
      <c r="QS1560" s="29"/>
      <c r="QT1560" s="29"/>
      <c r="QU1560" s="29"/>
      <c r="QV1560" s="29"/>
      <c r="QW1560" s="29"/>
      <c r="QX1560" s="29"/>
      <c r="QY1560" s="29"/>
      <c r="QZ1560" s="29"/>
      <c r="RA1560" s="29"/>
      <c r="RB1560" s="29"/>
      <c r="RC1560" s="29"/>
      <c r="RD1560" s="29"/>
      <c r="RE1560" s="29"/>
      <c r="RF1560" s="29"/>
      <c r="RG1560" s="29"/>
      <c r="RH1560" s="29"/>
      <c r="RI1560" s="29"/>
      <c r="RJ1560" s="29"/>
      <c r="RK1560" s="29"/>
      <c r="RL1560" s="29"/>
      <c r="RM1560" s="29"/>
      <c r="RN1560" s="29"/>
      <c r="RO1560" s="29"/>
      <c r="RP1560" s="29"/>
      <c r="RQ1560" s="29"/>
      <c r="RR1560" s="29"/>
      <c r="RS1560" s="29"/>
      <c r="RT1560" s="29"/>
      <c r="RU1560" s="29"/>
      <c r="RV1560" s="29"/>
      <c r="RW1560" s="29"/>
      <c r="RX1560" s="29"/>
      <c r="RY1560" s="29"/>
      <c r="RZ1560" s="29"/>
      <c r="SA1560" s="29"/>
      <c r="SB1560" s="29"/>
      <c r="SC1560" s="29"/>
      <c r="SD1560" s="29"/>
      <c r="SE1560" s="29"/>
      <c r="SF1560" s="29"/>
      <c r="SG1560" s="29"/>
      <c r="SH1560" s="29"/>
      <c r="SI1560" s="29"/>
      <c r="SJ1560" s="29"/>
      <c r="SK1560" s="29"/>
      <c r="SL1560" s="29"/>
      <c r="SM1560" s="29"/>
      <c r="SN1560" s="29"/>
      <c r="SO1560" s="29"/>
      <c r="SP1560" s="29"/>
      <c r="SQ1560" s="29"/>
      <c r="SR1560" s="29"/>
      <c r="SS1560" s="29"/>
      <c r="ST1560" s="29"/>
      <c r="SU1560" s="29"/>
      <c r="SV1560" s="29"/>
      <c r="SW1560" s="29"/>
      <c r="SX1560" s="29"/>
      <c r="SY1560" s="29"/>
      <c r="SZ1560" s="29"/>
      <c r="TA1560" s="29"/>
      <c r="TB1560" s="29"/>
      <c r="TC1560" s="29"/>
      <c r="TD1560" s="29"/>
      <c r="TE1560" s="29"/>
      <c r="TF1560" s="29"/>
      <c r="TG1560" s="29"/>
      <c r="TH1560" s="29"/>
      <c r="TI1560" s="29"/>
      <c r="TJ1560" s="29"/>
      <c r="TK1560" s="29"/>
      <c r="TL1560" s="29"/>
      <c r="TM1560" s="29"/>
      <c r="TN1560" s="29"/>
      <c r="TO1560" s="29"/>
      <c r="TP1560" s="29"/>
      <c r="TQ1560" s="29"/>
      <c r="TR1560" s="29"/>
      <c r="TS1560" s="29"/>
      <c r="TT1560" s="29"/>
      <c r="TU1560" s="29"/>
      <c r="TV1560" s="29"/>
      <c r="TW1560" s="29"/>
      <c r="TX1560" s="29"/>
      <c r="TY1560" s="29"/>
      <c r="TZ1560" s="29"/>
      <c r="UA1560" s="29"/>
      <c r="UB1560" s="29"/>
      <c r="UC1560" s="29"/>
      <c r="UD1560" s="29"/>
      <c r="UE1560" s="29"/>
      <c r="UF1560" s="29"/>
      <c r="UG1560" s="29"/>
      <c r="UH1560" s="29"/>
      <c r="UI1560" s="29"/>
      <c r="UJ1560" s="29"/>
      <c r="UK1560" s="29"/>
      <c r="UL1560" s="29"/>
      <c r="UM1560" s="29"/>
      <c r="UN1560" s="29"/>
      <c r="UO1560" s="29"/>
      <c r="UP1560" s="29"/>
      <c r="UQ1560" s="29"/>
      <c r="UR1560" s="29"/>
      <c r="US1560" s="29"/>
      <c r="UT1560" s="29"/>
      <c r="UU1560" s="29"/>
      <c r="UV1560" s="29"/>
      <c r="UW1560" s="29"/>
      <c r="UX1560" s="29"/>
      <c r="UY1560" s="29"/>
      <c r="UZ1560" s="29"/>
      <c r="VA1560" s="29"/>
      <c r="VB1560" s="29"/>
      <c r="VC1560" s="29"/>
      <c r="VD1560" s="29"/>
      <c r="VE1560" s="29"/>
      <c r="VF1560" s="29"/>
      <c r="VG1560" s="29"/>
      <c r="VH1560" s="29"/>
      <c r="VI1560" s="29"/>
      <c r="VJ1560" s="29"/>
      <c r="VK1560" s="29"/>
      <c r="VL1560" s="29"/>
      <c r="VM1560" s="29"/>
      <c r="VN1560" s="29"/>
      <c r="VO1560" s="29"/>
      <c r="VP1560" s="29"/>
      <c r="VQ1560" s="29"/>
      <c r="VR1560" s="29"/>
      <c r="VS1560" s="29"/>
      <c r="VT1560" s="29"/>
      <c r="VU1560" s="29"/>
      <c r="VV1560" s="29"/>
      <c r="VW1560" s="29"/>
      <c r="VX1560" s="29"/>
      <c r="VY1560" s="29"/>
      <c r="VZ1560" s="29"/>
      <c r="WA1560" s="29"/>
      <c r="WB1560" s="29"/>
    </row>
    <row r="1625" spans="1:600" x14ac:dyDescent="0.3">
      <c r="A1625" s="29"/>
      <c r="B1625" s="29"/>
      <c r="C1625" s="29"/>
      <c r="D1625" s="29"/>
      <c r="E1625" s="29"/>
      <c r="F1625" s="29"/>
      <c r="G1625" s="29"/>
      <c r="H1625" s="29"/>
      <c r="I1625" s="29"/>
      <c r="J1625" s="29"/>
      <c r="K1625" s="29"/>
      <c r="L1625" s="29"/>
      <c r="M1625" s="29"/>
      <c r="N1625" s="29"/>
      <c r="O1625" s="29"/>
      <c r="P1625" s="29"/>
      <c r="Q1625" s="29"/>
      <c r="R1625" s="29"/>
      <c r="S1625" s="29"/>
      <c r="T1625" s="29"/>
      <c r="U1625" s="29"/>
      <c r="V1625" s="29"/>
      <c r="W1625" s="29"/>
      <c r="X1625" s="29"/>
      <c r="Y1625" s="29"/>
      <c r="Z1625" s="29"/>
      <c r="AA1625" s="29"/>
      <c r="AB1625" s="29"/>
      <c r="AC1625" s="29"/>
      <c r="AD1625" s="29"/>
      <c r="AE1625" s="29"/>
      <c r="AF1625" s="29"/>
      <c r="AG1625" s="29"/>
      <c r="AH1625" s="29"/>
      <c r="AI1625" s="29"/>
      <c r="AJ1625" s="29"/>
      <c r="AK1625" s="29"/>
      <c r="AL1625" s="29"/>
      <c r="AM1625" s="29"/>
      <c r="AN1625" s="29"/>
      <c r="AO1625" s="29"/>
      <c r="AP1625" s="29"/>
      <c r="AQ1625" s="29"/>
      <c r="AR1625" s="29"/>
      <c r="AS1625" s="29"/>
      <c r="AT1625" s="29"/>
      <c r="AU1625" s="29"/>
      <c r="AV1625" s="29"/>
      <c r="AW1625" s="29"/>
      <c r="AX1625" s="29"/>
      <c r="AY1625" s="29"/>
      <c r="AZ1625" s="29"/>
      <c r="BA1625" s="29"/>
      <c r="BB1625" s="29"/>
      <c r="BC1625" s="29"/>
      <c r="BD1625" s="29"/>
      <c r="BE1625" s="29"/>
      <c r="BF1625" s="29"/>
      <c r="BG1625" s="29"/>
      <c r="BH1625" s="29"/>
      <c r="BI1625" s="29"/>
      <c r="BJ1625" s="29"/>
      <c r="BK1625" s="29"/>
      <c r="BL1625" s="29"/>
      <c r="BM1625" s="29"/>
      <c r="BN1625" s="29"/>
      <c r="BO1625" s="29"/>
      <c r="BP1625" s="29"/>
      <c r="BQ1625" s="29"/>
      <c r="BR1625" s="29"/>
      <c r="BS1625" s="29"/>
      <c r="BT1625" s="29"/>
      <c r="BU1625" s="29"/>
      <c r="BV1625" s="29"/>
      <c r="BW1625" s="29"/>
      <c r="BX1625" s="29"/>
      <c r="BY1625" s="29"/>
      <c r="BZ1625" s="29"/>
      <c r="CA1625" s="29"/>
      <c r="CB1625" s="29"/>
      <c r="CC1625" s="29"/>
      <c r="CD1625" s="29"/>
      <c r="CE1625" s="29"/>
      <c r="CF1625" s="29"/>
      <c r="CG1625" s="29"/>
      <c r="CH1625" s="29"/>
      <c r="CI1625" s="29"/>
      <c r="CJ1625" s="29"/>
      <c r="CK1625" s="29"/>
      <c r="CL1625" s="29"/>
      <c r="CM1625" s="29"/>
      <c r="CN1625" s="29"/>
      <c r="CO1625" s="29"/>
      <c r="CP1625" s="29"/>
      <c r="CQ1625" s="29"/>
      <c r="CR1625" s="29"/>
      <c r="CS1625" s="29"/>
      <c r="CT1625" s="29"/>
      <c r="CU1625" s="29"/>
      <c r="CV1625" s="29"/>
      <c r="CW1625" s="29"/>
      <c r="CX1625" s="29"/>
      <c r="CY1625" s="29"/>
      <c r="CZ1625" s="29"/>
      <c r="DA1625" s="29"/>
      <c r="DB1625" s="29"/>
      <c r="DC1625" s="29"/>
      <c r="DD1625" s="29"/>
      <c r="DE1625" s="29"/>
      <c r="DF1625" s="29"/>
      <c r="DG1625" s="29"/>
      <c r="DH1625" s="29"/>
      <c r="DI1625" s="29"/>
      <c r="DJ1625" s="29"/>
      <c r="DK1625" s="29"/>
      <c r="DL1625" s="29"/>
      <c r="DM1625" s="29"/>
      <c r="DN1625" s="29"/>
      <c r="DO1625" s="29"/>
      <c r="DP1625" s="29"/>
      <c r="DQ1625" s="29"/>
      <c r="DR1625" s="29"/>
      <c r="DS1625" s="29"/>
      <c r="DT1625" s="29"/>
      <c r="DU1625" s="29"/>
      <c r="DV1625" s="29"/>
      <c r="DW1625" s="29"/>
      <c r="DX1625" s="29"/>
      <c r="DY1625" s="29"/>
      <c r="DZ1625" s="29"/>
      <c r="EA1625" s="29"/>
      <c r="EB1625" s="29"/>
      <c r="EC1625" s="29"/>
      <c r="ED1625" s="29"/>
      <c r="EE1625" s="29"/>
      <c r="EF1625" s="29"/>
      <c r="EG1625" s="29"/>
      <c r="EH1625" s="29"/>
      <c r="EI1625" s="29"/>
      <c r="EJ1625" s="29"/>
      <c r="EK1625" s="29"/>
      <c r="EL1625" s="29"/>
      <c r="EM1625" s="29"/>
      <c r="EN1625" s="29"/>
      <c r="EO1625" s="29"/>
      <c r="EP1625" s="29"/>
      <c r="EQ1625" s="29"/>
      <c r="ER1625" s="29"/>
      <c r="ES1625" s="29"/>
      <c r="ET1625" s="29"/>
      <c r="EU1625" s="29"/>
      <c r="EV1625" s="29"/>
      <c r="EW1625" s="29"/>
      <c r="EX1625" s="29"/>
      <c r="EY1625" s="29"/>
      <c r="EZ1625" s="29"/>
      <c r="FA1625" s="29"/>
      <c r="FB1625" s="29"/>
      <c r="FC1625" s="29"/>
      <c r="FD1625" s="29"/>
      <c r="FE1625" s="29"/>
      <c r="FF1625" s="29"/>
      <c r="FG1625" s="29"/>
      <c r="FH1625" s="29"/>
      <c r="FI1625" s="29"/>
      <c r="FJ1625" s="29"/>
      <c r="FK1625" s="29"/>
      <c r="FL1625" s="29"/>
      <c r="FM1625" s="29"/>
      <c r="FN1625" s="29"/>
      <c r="FO1625" s="29"/>
      <c r="FP1625" s="29"/>
      <c r="FQ1625" s="29"/>
      <c r="FR1625" s="29"/>
      <c r="FS1625" s="29"/>
      <c r="FT1625" s="29"/>
      <c r="FU1625" s="29"/>
      <c r="FV1625" s="29"/>
      <c r="FW1625" s="29"/>
      <c r="FX1625" s="29"/>
      <c r="FY1625" s="29"/>
      <c r="FZ1625" s="29"/>
      <c r="GA1625" s="29"/>
      <c r="GB1625" s="29"/>
      <c r="GC1625" s="29"/>
      <c r="GD1625" s="29"/>
      <c r="GE1625" s="29"/>
      <c r="GF1625" s="29"/>
      <c r="GG1625" s="29"/>
      <c r="GH1625" s="29"/>
      <c r="GI1625" s="29"/>
      <c r="GJ1625" s="29"/>
      <c r="GK1625" s="29"/>
      <c r="GL1625" s="29"/>
      <c r="GM1625" s="29"/>
      <c r="GN1625" s="29"/>
      <c r="GO1625" s="29"/>
      <c r="GP1625" s="29"/>
      <c r="GQ1625" s="29"/>
      <c r="GR1625" s="29"/>
      <c r="GS1625" s="29"/>
      <c r="GT1625" s="29"/>
      <c r="GU1625" s="29"/>
      <c r="GV1625" s="29"/>
      <c r="GW1625" s="29"/>
      <c r="GX1625" s="29"/>
      <c r="GY1625" s="29"/>
      <c r="GZ1625" s="29"/>
      <c r="HA1625" s="29"/>
      <c r="HB1625" s="29"/>
      <c r="HC1625" s="29"/>
      <c r="HD1625" s="29"/>
      <c r="HE1625" s="29"/>
      <c r="HF1625" s="29"/>
      <c r="HG1625" s="29"/>
      <c r="HH1625" s="29"/>
      <c r="HI1625" s="29"/>
      <c r="HJ1625" s="29"/>
      <c r="HK1625" s="29"/>
      <c r="HL1625" s="29"/>
      <c r="HM1625" s="29"/>
      <c r="HN1625" s="29"/>
      <c r="HO1625" s="29"/>
      <c r="HP1625" s="29"/>
      <c r="HQ1625" s="29"/>
      <c r="HR1625" s="29"/>
      <c r="HS1625" s="29"/>
      <c r="HT1625" s="29"/>
      <c r="HU1625" s="29"/>
      <c r="HV1625" s="29"/>
      <c r="HW1625" s="29"/>
      <c r="HX1625" s="29"/>
      <c r="HY1625" s="29"/>
      <c r="HZ1625" s="29"/>
      <c r="IA1625" s="29"/>
      <c r="IB1625" s="29"/>
      <c r="IC1625" s="29"/>
      <c r="ID1625" s="29"/>
      <c r="IE1625" s="29"/>
      <c r="IF1625" s="29"/>
      <c r="IG1625" s="29"/>
      <c r="IH1625" s="29"/>
      <c r="II1625" s="29"/>
      <c r="IJ1625" s="29"/>
      <c r="IK1625" s="29"/>
      <c r="IL1625" s="29"/>
      <c r="IM1625" s="29"/>
      <c r="IN1625" s="29"/>
      <c r="IO1625" s="29"/>
      <c r="IP1625" s="29"/>
      <c r="IQ1625" s="29"/>
      <c r="IR1625" s="29"/>
      <c r="IS1625" s="29"/>
      <c r="IT1625" s="29"/>
      <c r="IU1625" s="29"/>
      <c r="IV1625" s="29"/>
      <c r="IW1625" s="29"/>
      <c r="IX1625" s="29"/>
      <c r="IY1625" s="29"/>
      <c r="IZ1625" s="29"/>
      <c r="JA1625" s="29"/>
      <c r="JB1625" s="29"/>
      <c r="JC1625" s="29"/>
      <c r="JD1625" s="29"/>
      <c r="JE1625" s="29"/>
      <c r="JF1625" s="29"/>
      <c r="JG1625" s="29"/>
      <c r="JH1625" s="29"/>
      <c r="JI1625" s="29"/>
      <c r="JJ1625" s="29"/>
      <c r="JK1625" s="29"/>
      <c r="JL1625" s="29"/>
      <c r="JM1625" s="29"/>
      <c r="JN1625" s="29"/>
      <c r="JO1625" s="29"/>
      <c r="JP1625" s="29"/>
      <c r="JQ1625" s="29"/>
      <c r="JR1625" s="29"/>
      <c r="JS1625" s="29"/>
      <c r="JT1625" s="29"/>
      <c r="JU1625" s="29"/>
      <c r="JV1625" s="29"/>
      <c r="JW1625" s="29"/>
      <c r="JX1625" s="29"/>
      <c r="JY1625" s="29"/>
      <c r="JZ1625" s="29"/>
      <c r="KA1625" s="29"/>
      <c r="KB1625" s="29"/>
      <c r="KC1625" s="29"/>
      <c r="KD1625" s="29"/>
      <c r="KE1625" s="29"/>
      <c r="KF1625" s="29"/>
      <c r="KG1625" s="29"/>
      <c r="KH1625" s="29"/>
      <c r="KI1625" s="29"/>
      <c r="KJ1625" s="29"/>
      <c r="KK1625" s="29"/>
      <c r="KL1625" s="29"/>
      <c r="KM1625" s="29"/>
      <c r="KN1625" s="29"/>
      <c r="KO1625" s="29"/>
      <c r="KP1625" s="29"/>
      <c r="KQ1625" s="29"/>
      <c r="KR1625" s="29"/>
      <c r="KS1625" s="29"/>
      <c r="KT1625" s="29"/>
      <c r="KU1625" s="29"/>
      <c r="KV1625" s="29"/>
      <c r="KW1625" s="29"/>
      <c r="KX1625" s="29"/>
      <c r="KY1625" s="29"/>
      <c r="KZ1625" s="29"/>
      <c r="LA1625" s="29"/>
      <c r="LB1625" s="29"/>
      <c r="LC1625" s="29"/>
      <c r="LD1625" s="29"/>
      <c r="LE1625" s="29"/>
      <c r="LF1625" s="29"/>
      <c r="LG1625" s="29"/>
      <c r="LH1625" s="29"/>
      <c r="LI1625" s="29"/>
      <c r="LJ1625" s="29"/>
      <c r="LK1625" s="29"/>
      <c r="LL1625" s="29"/>
      <c r="LM1625" s="29"/>
      <c r="LN1625" s="29"/>
      <c r="LO1625" s="29"/>
      <c r="LP1625" s="29"/>
      <c r="LQ1625" s="29"/>
      <c r="LR1625" s="29"/>
      <c r="LS1625" s="29"/>
      <c r="LT1625" s="29"/>
      <c r="LU1625" s="29"/>
      <c r="LV1625" s="29"/>
      <c r="LW1625" s="29"/>
      <c r="LX1625" s="29"/>
      <c r="LY1625" s="29"/>
      <c r="LZ1625" s="29"/>
      <c r="MA1625" s="29"/>
      <c r="MB1625" s="29"/>
      <c r="MC1625" s="29"/>
      <c r="MD1625" s="29"/>
      <c r="ME1625" s="29"/>
      <c r="MF1625" s="29"/>
      <c r="MG1625" s="29"/>
      <c r="MH1625" s="29"/>
      <c r="MI1625" s="29"/>
      <c r="MJ1625" s="29"/>
      <c r="MK1625" s="29"/>
      <c r="ML1625" s="29"/>
      <c r="MM1625" s="29"/>
      <c r="MN1625" s="29"/>
      <c r="MO1625" s="29"/>
      <c r="MP1625" s="29"/>
      <c r="MQ1625" s="29"/>
      <c r="MR1625" s="29"/>
      <c r="MS1625" s="29"/>
      <c r="MT1625" s="29"/>
      <c r="MU1625" s="29"/>
      <c r="MV1625" s="29"/>
      <c r="MW1625" s="29"/>
      <c r="MX1625" s="29"/>
      <c r="MY1625" s="29"/>
      <c r="MZ1625" s="29"/>
      <c r="NA1625" s="29"/>
      <c r="NB1625" s="29"/>
      <c r="NC1625" s="29"/>
      <c r="ND1625" s="29"/>
      <c r="NE1625" s="29"/>
      <c r="NF1625" s="29"/>
      <c r="NG1625" s="29"/>
      <c r="NH1625" s="29"/>
      <c r="NI1625" s="29"/>
      <c r="NJ1625" s="29"/>
      <c r="NK1625" s="29"/>
      <c r="NL1625" s="29"/>
      <c r="NM1625" s="29"/>
      <c r="NN1625" s="29"/>
      <c r="NO1625" s="29"/>
      <c r="NP1625" s="29"/>
      <c r="NQ1625" s="29"/>
      <c r="NR1625" s="29"/>
      <c r="NS1625" s="29"/>
      <c r="NT1625" s="29"/>
      <c r="NU1625" s="29"/>
      <c r="NV1625" s="29"/>
      <c r="NW1625" s="29"/>
      <c r="NX1625" s="29"/>
      <c r="NY1625" s="29"/>
      <c r="NZ1625" s="29"/>
      <c r="OA1625" s="29"/>
      <c r="OB1625" s="29"/>
      <c r="OC1625" s="29"/>
      <c r="OD1625" s="29"/>
      <c r="OE1625" s="29"/>
      <c r="OF1625" s="29"/>
      <c r="OG1625" s="29"/>
      <c r="OH1625" s="29"/>
      <c r="OI1625" s="29"/>
      <c r="OJ1625" s="29"/>
      <c r="OK1625" s="29"/>
      <c r="OL1625" s="29"/>
      <c r="OM1625" s="29"/>
      <c r="ON1625" s="29"/>
      <c r="OO1625" s="29"/>
      <c r="OP1625" s="29"/>
      <c r="OQ1625" s="29"/>
      <c r="OR1625" s="29"/>
      <c r="OS1625" s="29"/>
      <c r="OT1625" s="29"/>
      <c r="OU1625" s="29"/>
      <c r="OV1625" s="29"/>
      <c r="OW1625" s="29"/>
      <c r="OX1625" s="29"/>
      <c r="OY1625" s="29"/>
      <c r="OZ1625" s="29"/>
      <c r="PA1625" s="29"/>
      <c r="PB1625" s="29"/>
      <c r="PC1625" s="29"/>
      <c r="PD1625" s="29"/>
      <c r="PE1625" s="29"/>
      <c r="PF1625" s="29"/>
      <c r="PG1625" s="29"/>
      <c r="PH1625" s="29"/>
      <c r="PI1625" s="29"/>
      <c r="PJ1625" s="29"/>
      <c r="PK1625" s="29"/>
      <c r="PL1625" s="29"/>
      <c r="PM1625" s="29"/>
      <c r="PN1625" s="29"/>
      <c r="PO1625" s="29"/>
      <c r="PP1625" s="29"/>
      <c r="PQ1625" s="29"/>
      <c r="PR1625" s="29"/>
      <c r="PS1625" s="29"/>
      <c r="PT1625" s="29"/>
      <c r="PU1625" s="29"/>
      <c r="PV1625" s="29"/>
      <c r="PW1625" s="29"/>
      <c r="PX1625" s="29"/>
      <c r="PY1625" s="29"/>
      <c r="PZ1625" s="29"/>
      <c r="QA1625" s="29"/>
      <c r="QB1625" s="29"/>
      <c r="QC1625" s="29"/>
      <c r="QD1625" s="29"/>
      <c r="QE1625" s="29"/>
      <c r="QF1625" s="29"/>
      <c r="QG1625" s="29"/>
      <c r="QH1625" s="29"/>
      <c r="QI1625" s="29"/>
      <c r="QJ1625" s="29"/>
      <c r="QK1625" s="29"/>
      <c r="QL1625" s="29"/>
      <c r="QM1625" s="29"/>
      <c r="QN1625" s="29"/>
      <c r="QO1625" s="29"/>
      <c r="QP1625" s="29"/>
      <c r="QQ1625" s="29"/>
      <c r="QR1625" s="29"/>
      <c r="QS1625" s="29"/>
      <c r="QT1625" s="29"/>
      <c r="QU1625" s="29"/>
      <c r="QV1625" s="29"/>
      <c r="QW1625" s="29"/>
      <c r="QX1625" s="29"/>
      <c r="QY1625" s="29"/>
      <c r="QZ1625" s="29"/>
      <c r="RA1625" s="29"/>
      <c r="RB1625" s="29"/>
      <c r="RC1625" s="29"/>
      <c r="RD1625" s="29"/>
      <c r="RE1625" s="29"/>
      <c r="RF1625" s="29"/>
      <c r="RG1625" s="29"/>
      <c r="RH1625" s="29"/>
      <c r="RI1625" s="29"/>
      <c r="RJ1625" s="29"/>
      <c r="RK1625" s="29"/>
      <c r="RL1625" s="29"/>
      <c r="RM1625" s="29"/>
      <c r="RN1625" s="29"/>
      <c r="RO1625" s="29"/>
      <c r="RP1625" s="29"/>
      <c r="RQ1625" s="29"/>
      <c r="RR1625" s="29"/>
      <c r="RS1625" s="29"/>
      <c r="RT1625" s="29"/>
      <c r="RU1625" s="29"/>
      <c r="RV1625" s="29"/>
      <c r="RW1625" s="29"/>
      <c r="RX1625" s="29"/>
      <c r="RY1625" s="29"/>
      <c r="RZ1625" s="29"/>
      <c r="SA1625" s="29"/>
      <c r="SB1625" s="29"/>
      <c r="SC1625" s="29"/>
      <c r="SD1625" s="29"/>
      <c r="SE1625" s="29"/>
      <c r="SF1625" s="29"/>
      <c r="SG1625" s="29"/>
      <c r="SH1625" s="29"/>
      <c r="SI1625" s="29"/>
      <c r="SJ1625" s="29"/>
      <c r="SK1625" s="29"/>
      <c r="SL1625" s="29"/>
      <c r="SM1625" s="29"/>
      <c r="SN1625" s="29"/>
      <c r="SO1625" s="29"/>
      <c r="SP1625" s="29"/>
      <c r="SQ1625" s="29"/>
      <c r="SR1625" s="29"/>
      <c r="SS1625" s="29"/>
      <c r="ST1625" s="29"/>
      <c r="SU1625" s="29"/>
      <c r="SV1625" s="29"/>
      <c r="SW1625" s="29"/>
      <c r="SX1625" s="29"/>
      <c r="SY1625" s="29"/>
      <c r="SZ1625" s="29"/>
      <c r="TA1625" s="29"/>
      <c r="TB1625" s="29"/>
      <c r="TC1625" s="29"/>
      <c r="TD1625" s="29"/>
      <c r="TE1625" s="29"/>
      <c r="TF1625" s="29"/>
      <c r="TG1625" s="29"/>
      <c r="TH1625" s="29"/>
      <c r="TI1625" s="29"/>
      <c r="TJ1625" s="29"/>
      <c r="TK1625" s="29"/>
      <c r="TL1625" s="29"/>
      <c r="TM1625" s="29"/>
      <c r="TN1625" s="29"/>
      <c r="TO1625" s="29"/>
      <c r="TP1625" s="29"/>
      <c r="TQ1625" s="29"/>
      <c r="TR1625" s="29"/>
      <c r="TS1625" s="29"/>
      <c r="TT1625" s="29"/>
      <c r="TU1625" s="29"/>
      <c r="TV1625" s="29"/>
      <c r="TW1625" s="29"/>
      <c r="TX1625" s="29"/>
      <c r="TY1625" s="29"/>
      <c r="TZ1625" s="29"/>
      <c r="UA1625" s="29"/>
      <c r="UB1625" s="29"/>
      <c r="UC1625" s="29"/>
      <c r="UD1625" s="29"/>
      <c r="UE1625" s="29"/>
      <c r="UF1625" s="29"/>
      <c r="UG1625" s="29"/>
      <c r="UH1625" s="29"/>
      <c r="UI1625" s="29"/>
      <c r="UJ1625" s="29"/>
      <c r="UK1625" s="29"/>
      <c r="UL1625" s="29"/>
      <c r="UM1625" s="29"/>
      <c r="UN1625" s="29"/>
      <c r="UO1625" s="29"/>
      <c r="UP1625" s="29"/>
      <c r="UQ1625" s="29"/>
      <c r="UR1625" s="29"/>
      <c r="US1625" s="29"/>
      <c r="UT1625" s="29"/>
      <c r="UU1625" s="29"/>
      <c r="UV1625" s="29"/>
      <c r="UW1625" s="29"/>
      <c r="UX1625" s="29"/>
      <c r="UY1625" s="29"/>
      <c r="UZ1625" s="29"/>
      <c r="VA1625" s="29"/>
      <c r="VB1625" s="29"/>
      <c r="VC1625" s="29"/>
      <c r="VD1625" s="29"/>
      <c r="VE1625" s="29"/>
      <c r="VF1625" s="29"/>
      <c r="VG1625" s="29"/>
      <c r="VH1625" s="29"/>
      <c r="VI1625" s="29"/>
      <c r="VJ1625" s="29"/>
      <c r="VK1625" s="29"/>
      <c r="VL1625" s="29"/>
      <c r="VM1625" s="29"/>
      <c r="VN1625" s="29"/>
      <c r="VO1625" s="29"/>
      <c r="VP1625" s="29"/>
      <c r="VQ1625" s="29"/>
      <c r="VR1625" s="29"/>
      <c r="VS1625" s="29"/>
      <c r="VT1625" s="29"/>
      <c r="VU1625" s="29"/>
      <c r="VV1625" s="29"/>
      <c r="VW1625" s="29"/>
      <c r="VX1625" s="29"/>
      <c r="VY1625" s="29"/>
      <c r="VZ1625" s="29"/>
      <c r="WA1625" s="29"/>
      <c r="WB1625" s="29"/>
    </row>
    <row r="1690" spans="1:600" x14ac:dyDescent="0.3">
      <c r="A1690" s="29"/>
      <c r="B1690" s="29"/>
      <c r="C1690" s="29"/>
      <c r="D1690" s="29"/>
      <c r="E1690" s="29"/>
      <c r="F1690" s="29"/>
      <c r="G1690" s="29"/>
      <c r="H1690" s="29"/>
      <c r="I1690" s="29"/>
      <c r="J1690" s="29"/>
      <c r="K1690" s="29"/>
      <c r="L1690" s="29"/>
      <c r="M1690" s="29"/>
      <c r="N1690" s="29"/>
      <c r="O1690" s="29"/>
      <c r="P1690" s="29"/>
      <c r="Q1690" s="29"/>
      <c r="R1690" s="29"/>
      <c r="S1690" s="29"/>
      <c r="T1690" s="29"/>
      <c r="U1690" s="29"/>
      <c r="V1690" s="29"/>
      <c r="W1690" s="29"/>
      <c r="X1690" s="29"/>
      <c r="Y1690" s="29"/>
      <c r="Z1690" s="29"/>
      <c r="AA1690" s="29"/>
      <c r="AB1690" s="29"/>
      <c r="AC1690" s="29"/>
      <c r="AD1690" s="29"/>
      <c r="AE1690" s="29"/>
      <c r="AF1690" s="29"/>
      <c r="AG1690" s="29"/>
      <c r="AH1690" s="29"/>
      <c r="AI1690" s="29"/>
      <c r="AJ1690" s="29"/>
      <c r="AK1690" s="29"/>
      <c r="AL1690" s="29"/>
      <c r="AM1690" s="29"/>
      <c r="AN1690" s="29"/>
      <c r="AO1690" s="29"/>
      <c r="AP1690" s="29"/>
      <c r="AQ1690" s="29"/>
      <c r="AR1690" s="29"/>
      <c r="AS1690" s="29"/>
      <c r="AT1690" s="29"/>
      <c r="AU1690" s="29"/>
      <c r="AV1690" s="29"/>
      <c r="AW1690" s="29"/>
      <c r="AX1690" s="29"/>
      <c r="AY1690" s="29"/>
      <c r="AZ1690" s="29"/>
      <c r="BA1690" s="29"/>
      <c r="BB1690" s="29"/>
      <c r="BC1690" s="29"/>
      <c r="BD1690" s="29"/>
      <c r="BE1690" s="29"/>
      <c r="BF1690" s="29"/>
      <c r="BG1690" s="29"/>
      <c r="BH1690" s="29"/>
      <c r="BI1690" s="29"/>
      <c r="BJ1690" s="29"/>
      <c r="BK1690" s="29"/>
      <c r="BL1690" s="29"/>
      <c r="BM1690" s="29"/>
      <c r="BN1690" s="29"/>
      <c r="BO1690" s="29"/>
      <c r="BP1690" s="29"/>
      <c r="BQ1690" s="29"/>
      <c r="BR1690" s="29"/>
      <c r="BS1690" s="29"/>
      <c r="BT1690" s="29"/>
      <c r="BU1690" s="29"/>
      <c r="BV1690" s="29"/>
      <c r="BW1690" s="29"/>
      <c r="BX1690" s="29"/>
      <c r="BY1690" s="29"/>
      <c r="BZ1690" s="29"/>
      <c r="CA1690" s="29"/>
      <c r="CB1690" s="29"/>
      <c r="CC1690" s="29"/>
      <c r="CD1690" s="29"/>
      <c r="CE1690" s="29"/>
      <c r="CF1690" s="29"/>
      <c r="CG1690" s="29"/>
      <c r="CH1690" s="29"/>
      <c r="CI1690" s="29"/>
      <c r="CJ1690" s="29"/>
      <c r="CK1690" s="29"/>
      <c r="CL1690" s="29"/>
      <c r="CM1690" s="29"/>
      <c r="CN1690" s="29"/>
      <c r="CO1690" s="29"/>
      <c r="CP1690" s="29"/>
      <c r="CQ1690" s="29"/>
      <c r="CR1690" s="29"/>
      <c r="CS1690" s="29"/>
      <c r="CT1690" s="29"/>
      <c r="CU1690" s="29"/>
      <c r="CV1690" s="29"/>
      <c r="CW1690" s="29"/>
      <c r="CX1690" s="29"/>
      <c r="CY1690" s="29"/>
      <c r="CZ1690" s="29"/>
      <c r="DA1690" s="29"/>
      <c r="DB1690" s="29"/>
      <c r="DC1690" s="29"/>
      <c r="DD1690" s="29"/>
      <c r="DE1690" s="29"/>
      <c r="DF1690" s="29"/>
      <c r="DG1690" s="29"/>
      <c r="DH1690" s="29"/>
      <c r="DI1690" s="29"/>
      <c r="DJ1690" s="29"/>
      <c r="DK1690" s="29"/>
      <c r="DL1690" s="29"/>
      <c r="DM1690" s="29"/>
      <c r="DN1690" s="29"/>
      <c r="DO1690" s="29"/>
      <c r="DP1690" s="29"/>
      <c r="DQ1690" s="29"/>
      <c r="DR1690" s="29"/>
      <c r="DS1690" s="29"/>
      <c r="DT1690" s="29"/>
      <c r="DU1690" s="29"/>
      <c r="DV1690" s="29"/>
      <c r="DW1690" s="29"/>
      <c r="DX1690" s="29"/>
      <c r="DY1690" s="29"/>
      <c r="DZ1690" s="29"/>
      <c r="EA1690" s="29"/>
      <c r="EB1690" s="29"/>
      <c r="EC1690" s="29"/>
      <c r="ED1690" s="29"/>
      <c r="EE1690" s="29"/>
      <c r="EF1690" s="29"/>
      <c r="EG1690" s="29"/>
      <c r="EH1690" s="29"/>
      <c r="EI1690" s="29"/>
      <c r="EJ1690" s="29"/>
      <c r="EK1690" s="29"/>
      <c r="EL1690" s="29"/>
      <c r="EM1690" s="29"/>
      <c r="EN1690" s="29"/>
      <c r="EO1690" s="29"/>
      <c r="EP1690" s="29"/>
      <c r="EQ1690" s="29"/>
      <c r="ER1690" s="29"/>
      <c r="ES1690" s="29"/>
      <c r="ET1690" s="29"/>
      <c r="EU1690" s="29"/>
      <c r="EV1690" s="29"/>
      <c r="EW1690" s="29"/>
      <c r="EX1690" s="29"/>
      <c r="EY1690" s="29"/>
      <c r="EZ1690" s="29"/>
      <c r="FA1690" s="29"/>
      <c r="FB1690" s="29"/>
      <c r="FC1690" s="29"/>
      <c r="FD1690" s="29"/>
      <c r="FE1690" s="29"/>
      <c r="FF1690" s="29"/>
      <c r="FG1690" s="29"/>
      <c r="FH1690" s="29"/>
      <c r="FI1690" s="29"/>
      <c r="FJ1690" s="29"/>
      <c r="FK1690" s="29"/>
      <c r="FL1690" s="29"/>
      <c r="FM1690" s="29"/>
      <c r="FN1690" s="29"/>
      <c r="FO1690" s="29"/>
      <c r="FP1690" s="29"/>
      <c r="FQ1690" s="29"/>
      <c r="FR1690" s="29"/>
      <c r="FS1690" s="29"/>
      <c r="FT1690" s="29"/>
      <c r="FU1690" s="29"/>
      <c r="FV1690" s="29"/>
      <c r="FW1690" s="29"/>
      <c r="FX1690" s="29"/>
      <c r="FY1690" s="29"/>
      <c r="FZ1690" s="29"/>
      <c r="GA1690" s="29"/>
      <c r="GB1690" s="29"/>
      <c r="GC1690" s="29"/>
      <c r="GD1690" s="29"/>
      <c r="GE1690" s="29"/>
      <c r="GF1690" s="29"/>
      <c r="GG1690" s="29"/>
      <c r="GH1690" s="29"/>
      <c r="GI1690" s="29"/>
      <c r="GJ1690" s="29"/>
      <c r="GK1690" s="29"/>
      <c r="GL1690" s="29"/>
      <c r="GM1690" s="29"/>
      <c r="GN1690" s="29"/>
      <c r="GO1690" s="29"/>
      <c r="GP1690" s="29"/>
      <c r="GQ1690" s="29"/>
      <c r="GR1690" s="29"/>
      <c r="GS1690" s="29"/>
      <c r="GT1690" s="29"/>
      <c r="GU1690" s="29"/>
      <c r="GV1690" s="29"/>
      <c r="GW1690" s="29"/>
      <c r="GX1690" s="29"/>
      <c r="GY1690" s="29"/>
      <c r="GZ1690" s="29"/>
      <c r="HA1690" s="29"/>
      <c r="HB1690" s="29"/>
      <c r="HC1690" s="29"/>
      <c r="HD1690" s="29"/>
      <c r="HE1690" s="29"/>
      <c r="HF1690" s="29"/>
      <c r="HG1690" s="29"/>
      <c r="HH1690" s="29"/>
      <c r="HI1690" s="29"/>
      <c r="HJ1690" s="29"/>
      <c r="HK1690" s="29"/>
      <c r="HL1690" s="29"/>
      <c r="HM1690" s="29"/>
      <c r="HN1690" s="29"/>
      <c r="HO1690" s="29"/>
      <c r="HP1690" s="29"/>
      <c r="HQ1690" s="29"/>
      <c r="HR1690" s="29"/>
      <c r="HS1690" s="29"/>
      <c r="HT1690" s="29"/>
      <c r="HU1690" s="29"/>
      <c r="HV1690" s="29"/>
      <c r="HW1690" s="29"/>
      <c r="HX1690" s="29"/>
      <c r="HY1690" s="29"/>
      <c r="HZ1690" s="29"/>
      <c r="IA1690" s="29"/>
      <c r="IB1690" s="29"/>
      <c r="IC1690" s="29"/>
      <c r="ID1690" s="29"/>
      <c r="IE1690" s="29"/>
      <c r="IF1690" s="29"/>
      <c r="IG1690" s="29"/>
      <c r="IH1690" s="29"/>
      <c r="II1690" s="29"/>
      <c r="IJ1690" s="29"/>
      <c r="IK1690" s="29"/>
      <c r="IL1690" s="29"/>
      <c r="IM1690" s="29"/>
      <c r="IN1690" s="29"/>
      <c r="IO1690" s="29"/>
      <c r="IP1690" s="29"/>
      <c r="IQ1690" s="29"/>
      <c r="IR1690" s="29"/>
      <c r="IS1690" s="29"/>
      <c r="IT1690" s="29"/>
      <c r="IU1690" s="29"/>
      <c r="IV1690" s="29"/>
      <c r="IW1690" s="29"/>
      <c r="IX1690" s="29"/>
      <c r="IY1690" s="29"/>
      <c r="IZ1690" s="29"/>
      <c r="JA1690" s="29"/>
      <c r="JB1690" s="29"/>
      <c r="JC1690" s="29"/>
      <c r="JD1690" s="29"/>
      <c r="JE1690" s="29"/>
      <c r="JF1690" s="29"/>
      <c r="JG1690" s="29"/>
      <c r="JH1690" s="29"/>
      <c r="JI1690" s="29"/>
      <c r="JJ1690" s="29"/>
      <c r="JK1690" s="29"/>
      <c r="JL1690" s="29"/>
      <c r="JM1690" s="29"/>
      <c r="JN1690" s="29"/>
      <c r="JO1690" s="29"/>
      <c r="JP1690" s="29"/>
      <c r="JQ1690" s="29"/>
      <c r="JR1690" s="29"/>
      <c r="JS1690" s="29"/>
      <c r="JT1690" s="29"/>
      <c r="JU1690" s="29"/>
      <c r="JV1690" s="29"/>
      <c r="JW1690" s="29"/>
      <c r="JX1690" s="29"/>
      <c r="JY1690" s="29"/>
      <c r="JZ1690" s="29"/>
      <c r="KA1690" s="29"/>
      <c r="KB1690" s="29"/>
      <c r="KC1690" s="29"/>
      <c r="KD1690" s="29"/>
      <c r="KE1690" s="29"/>
      <c r="KF1690" s="29"/>
      <c r="KG1690" s="29"/>
      <c r="KH1690" s="29"/>
      <c r="KI1690" s="29"/>
      <c r="KJ1690" s="29"/>
      <c r="KK1690" s="29"/>
      <c r="KL1690" s="29"/>
      <c r="KM1690" s="29"/>
      <c r="KN1690" s="29"/>
      <c r="KO1690" s="29"/>
      <c r="KP1690" s="29"/>
      <c r="KQ1690" s="29"/>
      <c r="KR1690" s="29"/>
      <c r="KS1690" s="29"/>
      <c r="KT1690" s="29"/>
      <c r="KU1690" s="29"/>
      <c r="KV1690" s="29"/>
      <c r="KW1690" s="29"/>
      <c r="KX1690" s="29"/>
      <c r="KY1690" s="29"/>
      <c r="KZ1690" s="29"/>
      <c r="LA1690" s="29"/>
      <c r="LB1690" s="29"/>
      <c r="LC1690" s="29"/>
      <c r="LD1690" s="29"/>
      <c r="LE1690" s="29"/>
      <c r="LF1690" s="29"/>
      <c r="LG1690" s="29"/>
      <c r="LH1690" s="29"/>
      <c r="LI1690" s="29"/>
      <c r="LJ1690" s="29"/>
      <c r="LK1690" s="29"/>
      <c r="LL1690" s="29"/>
      <c r="LM1690" s="29"/>
      <c r="LN1690" s="29"/>
      <c r="LO1690" s="29"/>
      <c r="LP1690" s="29"/>
      <c r="LQ1690" s="29"/>
      <c r="LR1690" s="29"/>
      <c r="LS1690" s="29"/>
      <c r="LT1690" s="29"/>
      <c r="LU1690" s="29"/>
      <c r="LV1690" s="29"/>
      <c r="LW1690" s="29"/>
      <c r="LX1690" s="29"/>
      <c r="LY1690" s="29"/>
      <c r="LZ1690" s="29"/>
      <c r="MA1690" s="29"/>
      <c r="MB1690" s="29"/>
      <c r="MC1690" s="29"/>
      <c r="MD1690" s="29"/>
      <c r="ME1690" s="29"/>
      <c r="MF1690" s="29"/>
      <c r="MG1690" s="29"/>
      <c r="MH1690" s="29"/>
      <c r="MI1690" s="29"/>
      <c r="MJ1690" s="29"/>
      <c r="MK1690" s="29"/>
      <c r="ML1690" s="29"/>
      <c r="MM1690" s="29"/>
      <c r="MN1690" s="29"/>
      <c r="MO1690" s="29"/>
      <c r="MP1690" s="29"/>
      <c r="MQ1690" s="29"/>
      <c r="MR1690" s="29"/>
      <c r="MS1690" s="29"/>
      <c r="MT1690" s="29"/>
      <c r="MU1690" s="29"/>
      <c r="MV1690" s="29"/>
      <c r="MW1690" s="29"/>
      <c r="MX1690" s="29"/>
      <c r="MY1690" s="29"/>
      <c r="MZ1690" s="29"/>
      <c r="NA1690" s="29"/>
      <c r="NB1690" s="29"/>
      <c r="NC1690" s="29"/>
      <c r="ND1690" s="29"/>
      <c r="NE1690" s="29"/>
      <c r="NF1690" s="29"/>
      <c r="NG1690" s="29"/>
      <c r="NH1690" s="29"/>
      <c r="NI1690" s="29"/>
      <c r="NJ1690" s="29"/>
      <c r="NK1690" s="29"/>
      <c r="NL1690" s="29"/>
      <c r="NM1690" s="29"/>
      <c r="NN1690" s="29"/>
      <c r="NO1690" s="29"/>
      <c r="NP1690" s="29"/>
      <c r="NQ1690" s="29"/>
      <c r="NR1690" s="29"/>
      <c r="NS1690" s="29"/>
      <c r="NT1690" s="29"/>
      <c r="NU1690" s="29"/>
      <c r="NV1690" s="29"/>
      <c r="NW1690" s="29"/>
      <c r="NX1690" s="29"/>
      <c r="NY1690" s="29"/>
      <c r="NZ1690" s="29"/>
      <c r="OA1690" s="29"/>
      <c r="OB1690" s="29"/>
      <c r="OC1690" s="29"/>
      <c r="OD1690" s="29"/>
      <c r="OE1690" s="29"/>
      <c r="OF1690" s="29"/>
      <c r="OG1690" s="29"/>
      <c r="OH1690" s="29"/>
      <c r="OI1690" s="29"/>
      <c r="OJ1690" s="29"/>
      <c r="OK1690" s="29"/>
      <c r="OL1690" s="29"/>
      <c r="OM1690" s="29"/>
      <c r="ON1690" s="29"/>
      <c r="OO1690" s="29"/>
      <c r="OP1690" s="29"/>
      <c r="OQ1690" s="29"/>
      <c r="OR1690" s="29"/>
      <c r="OS1690" s="29"/>
      <c r="OT1690" s="29"/>
      <c r="OU1690" s="29"/>
      <c r="OV1690" s="29"/>
      <c r="OW1690" s="29"/>
      <c r="OX1690" s="29"/>
      <c r="OY1690" s="29"/>
      <c r="OZ1690" s="29"/>
      <c r="PA1690" s="29"/>
      <c r="PB1690" s="29"/>
      <c r="PC1690" s="29"/>
      <c r="PD1690" s="29"/>
      <c r="PE1690" s="29"/>
      <c r="PF1690" s="29"/>
      <c r="PG1690" s="29"/>
      <c r="PH1690" s="29"/>
      <c r="PI1690" s="29"/>
      <c r="PJ1690" s="29"/>
      <c r="PK1690" s="29"/>
      <c r="PL1690" s="29"/>
      <c r="PM1690" s="29"/>
      <c r="PN1690" s="29"/>
      <c r="PO1690" s="29"/>
      <c r="PP1690" s="29"/>
      <c r="PQ1690" s="29"/>
      <c r="PR1690" s="29"/>
      <c r="PS1690" s="29"/>
      <c r="PT1690" s="29"/>
      <c r="PU1690" s="29"/>
      <c r="PV1690" s="29"/>
      <c r="PW1690" s="29"/>
      <c r="PX1690" s="29"/>
      <c r="PY1690" s="29"/>
      <c r="PZ1690" s="29"/>
      <c r="QA1690" s="29"/>
      <c r="QB1690" s="29"/>
      <c r="QC1690" s="29"/>
      <c r="QD1690" s="29"/>
      <c r="QE1690" s="29"/>
      <c r="QF1690" s="29"/>
      <c r="QG1690" s="29"/>
      <c r="QH1690" s="29"/>
      <c r="QI1690" s="29"/>
      <c r="QJ1690" s="29"/>
      <c r="QK1690" s="29"/>
      <c r="QL1690" s="29"/>
      <c r="QM1690" s="29"/>
      <c r="QN1690" s="29"/>
      <c r="QO1690" s="29"/>
      <c r="QP1690" s="29"/>
      <c r="QQ1690" s="29"/>
      <c r="QR1690" s="29"/>
      <c r="QS1690" s="29"/>
      <c r="QT1690" s="29"/>
      <c r="QU1690" s="29"/>
      <c r="QV1690" s="29"/>
      <c r="QW1690" s="29"/>
      <c r="QX1690" s="29"/>
      <c r="QY1690" s="29"/>
      <c r="QZ1690" s="29"/>
      <c r="RA1690" s="29"/>
      <c r="RB1690" s="29"/>
      <c r="RC1690" s="29"/>
      <c r="RD1690" s="29"/>
      <c r="RE1690" s="29"/>
      <c r="RF1690" s="29"/>
      <c r="RG1690" s="29"/>
      <c r="RH1690" s="29"/>
      <c r="RI1690" s="29"/>
      <c r="RJ1690" s="29"/>
      <c r="RK1690" s="29"/>
      <c r="RL1690" s="29"/>
      <c r="RM1690" s="29"/>
      <c r="RN1690" s="29"/>
      <c r="RO1690" s="29"/>
      <c r="RP1690" s="29"/>
      <c r="RQ1690" s="29"/>
      <c r="RR1690" s="29"/>
      <c r="RS1690" s="29"/>
      <c r="RT1690" s="29"/>
      <c r="RU1690" s="29"/>
      <c r="RV1690" s="29"/>
      <c r="RW1690" s="29"/>
      <c r="RX1690" s="29"/>
      <c r="RY1690" s="29"/>
      <c r="RZ1690" s="29"/>
      <c r="SA1690" s="29"/>
      <c r="SB1690" s="29"/>
      <c r="SC1690" s="29"/>
      <c r="SD1690" s="29"/>
      <c r="SE1690" s="29"/>
      <c r="SF1690" s="29"/>
      <c r="SG1690" s="29"/>
      <c r="SH1690" s="29"/>
      <c r="SI1690" s="29"/>
      <c r="SJ1690" s="29"/>
      <c r="SK1690" s="29"/>
      <c r="SL1690" s="29"/>
      <c r="SM1690" s="29"/>
      <c r="SN1690" s="29"/>
      <c r="SO1690" s="29"/>
      <c r="SP1690" s="29"/>
      <c r="SQ1690" s="29"/>
      <c r="SR1690" s="29"/>
      <c r="SS1690" s="29"/>
      <c r="ST1690" s="29"/>
      <c r="SU1690" s="29"/>
      <c r="SV1690" s="29"/>
      <c r="SW1690" s="29"/>
      <c r="SX1690" s="29"/>
      <c r="SY1690" s="29"/>
      <c r="SZ1690" s="29"/>
      <c r="TA1690" s="29"/>
      <c r="TB1690" s="29"/>
      <c r="TC1690" s="29"/>
      <c r="TD1690" s="29"/>
      <c r="TE1690" s="29"/>
      <c r="TF1690" s="29"/>
      <c r="TG1690" s="29"/>
      <c r="TH1690" s="29"/>
      <c r="TI1690" s="29"/>
      <c r="TJ1690" s="29"/>
      <c r="TK1690" s="29"/>
      <c r="TL1690" s="29"/>
      <c r="TM1690" s="29"/>
      <c r="TN1690" s="29"/>
      <c r="TO1690" s="29"/>
      <c r="TP1690" s="29"/>
      <c r="TQ1690" s="29"/>
      <c r="TR1690" s="29"/>
      <c r="TS1690" s="29"/>
      <c r="TT1690" s="29"/>
      <c r="TU1690" s="29"/>
      <c r="TV1690" s="29"/>
      <c r="TW1690" s="29"/>
      <c r="TX1690" s="29"/>
      <c r="TY1690" s="29"/>
      <c r="TZ1690" s="29"/>
      <c r="UA1690" s="29"/>
      <c r="UB1690" s="29"/>
      <c r="UC1690" s="29"/>
      <c r="UD1690" s="29"/>
      <c r="UE1690" s="29"/>
      <c r="UF1690" s="29"/>
      <c r="UG1690" s="29"/>
      <c r="UH1690" s="29"/>
      <c r="UI1690" s="29"/>
      <c r="UJ1690" s="29"/>
      <c r="UK1690" s="29"/>
      <c r="UL1690" s="29"/>
      <c r="UM1690" s="29"/>
      <c r="UN1690" s="29"/>
      <c r="UO1690" s="29"/>
      <c r="UP1690" s="29"/>
      <c r="UQ1690" s="29"/>
      <c r="UR1690" s="29"/>
      <c r="US1690" s="29"/>
      <c r="UT1690" s="29"/>
      <c r="UU1690" s="29"/>
      <c r="UV1690" s="29"/>
      <c r="UW1690" s="29"/>
      <c r="UX1690" s="29"/>
      <c r="UY1690" s="29"/>
      <c r="UZ1690" s="29"/>
      <c r="VA1690" s="29"/>
      <c r="VB1690" s="29"/>
      <c r="VC1690" s="29"/>
      <c r="VD1690" s="29"/>
      <c r="VE1690" s="29"/>
      <c r="VF1690" s="29"/>
      <c r="VG1690" s="29"/>
      <c r="VH1690" s="29"/>
      <c r="VI1690" s="29"/>
      <c r="VJ1690" s="29"/>
      <c r="VK1690" s="29"/>
      <c r="VL1690" s="29"/>
      <c r="VM1690" s="29"/>
      <c r="VN1690" s="29"/>
      <c r="VO1690" s="29"/>
      <c r="VP1690" s="29"/>
      <c r="VQ1690" s="29"/>
      <c r="VR1690" s="29"/>
      <c r="VS1690" s="29"/>
      <c r="VT1690" s="29"/>
      <c r="VU1690" s="29"/>
      <c r="VV1690" s="29"/>
      <c r="VW1690" s="29"/>
      <c r="VX1690" s="29"/>
      <c r="VY1690" s="29"/>
      <c r="VZ1690" s="29"/>
      <c r="WA1690" s="29"/>
      <c r="WB1690" s="29"/>
    </row>
    <row r="1755" spans="1:600" x14ac:dyDescent="0.3">
      <c r="A1755" s="29"/>
      <c r="B1755" s="29"/>
      <c r="C1755" s="29"/>
      <c r="D1755" s="29"/>
      <c r="E1755" s="29"/>
      <c r="F1755" s="29"/>
      <c r="G1755" s="29"/>
      <c r="H1755" s="29"/>
      <c r="I1755" s="29"/>
      <c r="J1755" s="29"/>
      <c r="K1755" s="29"/>
      <c r="L1755" s="29"/>
      <c r="M1755" s="29"/>
      <c r="N1755" s="29"/>
      <c r="O1755" s="29"/>
      <c r="P1755" s="29"/>
      <c r="Q1755" s="29"/>
      <c r="R1755" s="29"/>
      <c r="S1755" s="29"/>
      <c r="T1755" s="29"/>
      <c r="U1755" s="29"/>
      <c r="V1755" s="29"/>
      <c r="W1755" s="29"/>
      <c r="X1755" s="29"/>
      <c r="Y1755" s="29"/>
      <c r="Z1755" s="29"/>
      <c r="AA1755" s="29"/>
      <c r="AB1755" s="29"/>
      <c r="AC1755" s="29"/>
      <c r="AD1755" s="29"/>
      <c r="AE1755" s="29"/>
      <c r="AF1755" s="29"/>
      <c r="AG1755" s="29"/>
      <c r="AH1755" s="29"/>
      <c r="AI1755" s="29"/>
      <c r="AJ1755" s="29"/>
      <c r="AK1755" s="29"/>
      <c r="AL1755" s="29"/>
      <c r="AM1755" s="29"/>
      <c r="AN1755" s="29"/>
      <c r="AO1755" s="29"/>
      <c r="AP1755" s="29"/>
      <c r="AQ1755" s="29"/>
      <c r="AR1755" s="29"/>
      <c r="AS1755" s="29"/>
      <c r="AT1755" s="29"/>
      <c r="AU1755" s="29"/>
      <c r="AV1755" s="29"/>
      <c r="AW1755" s="29"/>
      <c r="AX1755" s="29"/>
      <c r="AY1755" s="29"/>
      <c r="AZ1755" s="29"/>
      <c r="BA1755" s="29"/>
      <c r="BB1755" s="29"/>
      <c r="BC1755" s="29"/>
      <c r="BD1755" s="29"/>
      <c r="BE1755" s="29"/>
      <c r="BF1755" s="29"/>
      <c r="BG1755" s="29"/>
      <c r="BH1755" s="29"/>
      <c r="BI1755" s="29"/>
      <c r="BJ1755" s="29"/>
      <c r="BK1755" s="29"/>
      <c r="BL1755" s="29"/>
      <c r="BM1755" s="29"/>
      <c r="BN1755" s="29"/>
      <c r="BO1755" s="29"/>
      <c r="BP1755" s="29"/>
      <c r="BQ1755" s="29"/>
      <c r="BR1755" s="29"/>
      <c r="BS1755" s="29"/>
      <c r="BT1755" s="29"/>
      <c r="BU1755" s="29"/>
      <c r="BV1755" s="29"/>
      <c r="BW1755" s="29"/>
      <c r="BX1755" s="29"/>
      <c r="BY1755" s="29"/>
      <c r="BZ1755" s="29"/>
      <c r="CA1755" s="29"/>
      <c r="CB1755" s="29"/>
      <c r="CC1755" s="29"/>
      <c r="CD1755" s="29"/>
      <c r="CE1755" s="29"/>
      <c r="CF1755" s="29"/>
      <c r="CG1755" s="29"/>
      <c r="CH1755" s="29"/>
      <c r="CI1755" s="29"/>
      <c r="CJ1755" s="29"/>
      <c r="CK1755" s="29"/>
      <c r="CL1755" s="29"/>
      <c r="CM1755" s="29"/>
      <c r="CN1755" s="29"/>
      <c r="CO1755" s="29"/>
      <c r="CP1755" s="29"/>
      <c r="CQ1755" s="29"/>
      <c r="CR1755" s="29"/>
      <c r="CS1755" s="29"/>
      <c r="CT1755" s="29"/>
      <c r="CU1755" s="29"/>
      <c r="CV1755" s="29"/>
      <c r="CW1755" s="29"/>
      <c r="CX1755" s="29"/>
      <c r="CY1755" s="29"/>
      <c r="CZ1755" s="29"/>
      <c r="DA1755" s="29"/>
      <c r="DB1755" s="29"/>
      <c r="DC1755" s="29"/>
      <c r="DD1755" s="29"/>
      <c r="DE1755" s="29"/>
      <c r="DF1755" s="29"/>
      <c r="DG1755" s="29"/>
      <c r="DH1755" s="29"/>
      <c r="DI1755" s="29"/>
      <c r="DJ1755" s="29"/>
      <c r="DK1755" s="29"/>
      <c r="DL1755" s="29"/>
      <c r="DM1755" s="29"/>
      <c r="DN1755" s="29"/>
      <c r="DO1755" s="29"/>
      <c r="DP1755" s="29"/>
      <c r="DQ1755" s="29"/>
      <c r="DR1755" s="29"/>
      <c r="DS1755" s="29"/>
      <c r="DT1755" s="29"/>
      <c r="DU1755" s="29"/>
      <c r="DV1755" s="29"/>
      <c r="DW1755" s="29"/>
      <c r="DX1755" s="29"/>
      <c r="DY1755" s="29"/>
      <c r="DZ1755" s="29"/>
      <c r="EA1755" s="29"/>
      <c r="EB1755" s="29"/>
      <c r="EC1755" s="29"/>
      <c r="ED1755" s="29"/>
      <c r="EE1755" s="29"/>
      <c r="EF1755" s="29"/>
      <c r="EG1755" s="29"/>
      <c r="EH1755" s="29"/>
      <c r="EI1755" s="29"/>
      <c r="EJ1755" s="29"/>
      <c r="EK1755" s="29"/>
      <c r="EL1755" s="29"/>
      <c r="EM1755" s="29"/>
      <c r="EN1755" s="29"/>
      <c r="EO1755" s="29"/>
      <c r="EP1755" s="29"/>
      <c r="EQ1755" s="29"/>
      <c r="ER1755" s="29"/>
      <c r="ES1755" s="29"/>
      <c r="ET1755" s="29"/>
      <c r="EU1755" s="29"/>
      <c r="EV1755" s="29"/>
      <c r="EW1755" s="29"/>
      <c r="EX1755" s="29"/>
      <c r="EY1755" s="29"/>
      <c r="EZ1755" s="29"/>
      <c r="FA1755" s="29"/>
      <c r="FB1755" s="29"/>
      <c r="FC1755" s="29"/>
      <c r="FD1755" s="29"/>
      <c r="FE1755" s="29"/>
      <c r="FF1755" s="29"/>
      <c r="FG1755" s="29"/>
      <c r="FH1755" s="29"/>
      <c r="FI1755" s="29"/>
      <c r="FJ1755" s="29"/>
      <c r="FK1755" s="29"/>
      <c r="FL1755" s="29"/>
      <c r="FM1755" s="29"/>
      <c r="FN1755" s="29"/>
      <c r="FO1755" s="29"/>
      <c r="FP1755" s="29"/>
      <c r="FQ1755" s="29"/>
      <c r="FR1755" s="29"/>
      <c r="FS1755" s="29"/>
      <c r="FT1755" s="29"/>
      <c r="FU1755" s="29"/>
      <c r="FV1755" s="29"/>
      <c r="FW1755" s="29"/>
      <c r="FX1755" s="29"/>
      <c r="FY1755" s="29"/>
      <c r="FZ1755" s="29"/>
      <c r="GA1755" s="29"/>
      <c r="GB1755" s="29"/>
      <c r="GC1755" s="29"/>
      <c r="GD1755" s="29"/>
      <c r="GE1755" s="29"/>
      <c r="GF1755" s="29"/>
      <c r="GG1755" s="29"/>
      <c r="GH1755" s="29"/>
      <c r="GI1755" s="29"/>
      <c r="GJ1755" s="29"/>
      <c r="GK1755" s="29"/>
      <c r="GL1755" s="29"/>
      <c r="GM1755" s="29"/>
      <c r="GN1755" s="29"/>
      <c r="GO1755" s="29"/>
      <c r="GP1755" s="29"/>
      <c r="GQ1755" s="29"/>
      <c r="GR1755" s="29"/>
      <c r="GS1755" s="29"/>
      <c r="GT1755" s="29"/>
      <c r="GU1755" s="29"/>
      <c r="GV1755" s="29"/>
      <c r="GW1755" s="29"/>
      <c r="GX1755" s="29"/>
      <c r="GY1755" s="29"/>
      <c r="GZ1755" s="29"/>
      <c r="HA1755" s="29"/>
      <c r="HB1755" s="29"/>
      <c r="HC1755" s="29"/>
      <c r="HD1755" s="29"/>
      <c r="HE1755" s="29"/>
      <c r="HF1755" s="29"/>
      <c r="HG1755" s="29"/>
      <c r="HH1755" s="29"/>
      <c r="HI1755" s="29"/>
      <c r="HJ1755" s="29"/>
      <c r="HK1755" s="29"/>
      <c r="HL1755" s="29"/>
      <c r="HM1755" s="29"/>
      <c r="HN1755" s="29"/>
      <c r="HO1755" s="29"/>
      <c r="HP1755" s="29"/>
      <c r="HQ1755" s="29"/>
      <c r="HR1755" s="29"/>
      <c r="HS1755" s="29"/>
      <c r="HT1755" s="29"/>
      <c r="HU1755" s="29"/>
      <c r="HV1755" s="29"/>
      <c r="HW1755" s="29"/>
      <c r="HX1755" s="29"/>
      <c r="HY1755" s="29"/>
      <c r="HZ1755" s="29"/>
      <c r="IA1755" s="29"/>
      <c r="IB1755" s="29"/>
      <c r="IC1755" s="29"/>
      <c r="ID1755" s="29"/>
      <c r="IE1755" s="29"/>
      <c r="IF1755" s="29"/>
      <c r="IG1755" s="29"/>
      <c r="IH1755" s="29"/>
      <c r="II1755" s="29"/>
      <c r="IJ1755" s="29"/>
      <c r="IK1755" s="29"/>
      <c r="IL1755" s="29"/>
      <c r="IM1755" s="29"/>
      <c r="IN1755" s="29"/>
      <c r="IO1755" s="29"/>
      <c r="IP1755" s="29"/>
      <c r="IQ1755" s="29"/>
      <c r="IR1755" s="29"/>
      <c r="IS1755" s="29"/>
      <c r="IT1755" s="29"/>
      <c r="IU1755" s="29"/>
      <c r="IV1755" s="29"/>
      <c r="IW1755" s="29"/>
      <c r="IX1755" s="29"/>
      <c r="IY1755" s="29"/>
      <c r="IZ1755" s="29"/>
      <c r="JA1755" s="29"/>
      <c r="JB1755" s="29"/>
      <c r="JC1755" s="29"/>
      <c r="JD1755" s="29"/>
      <c r="JE1755" s="29"/>
      <c r="JF1755" s="29"/>
      <c r="JG1755" s="29"/>
      <c r="JH1755" s="29"/>
      <c r="JI1755" s="29"/>
      <c r="JJ1755" s="29"/>
      <c r="JK1755" s="29"/>
      <c r="JL1755" s="29"/>
      <c r="JM1755" s="29"/>
      <c r="JN1755" s="29"/>
      <c r="JO1755" s="29"/>
      <c r="JP1755" s="29"/>
      <c r="JQ1755" s="29"/>
      <c r="JR1755" s="29"/>
      <c r="JS1755" s="29"/>
      <c r="JT1755" s="29"/>
      <c r="JU1755" s="29"/>
      <c r="JV1755" s="29"/>
      <c r="JW1755" s="29"/>
      <c r="JX1755" s="29"/>
      <c r="JY1755" s="29"/>
      <c r="JZ1755" s="29"/>
      <c r="KA1755" s="29"/>
      <c r="KB1755" s="29"/>
      <c r="KC1755" s="29"/>
      <c r="KD1755" s="29"/>
      <c r="KE1755" s="29"/>
      <c r="KF1755" s="29"/>
      <c r="KG1755" s="29"/>
      <c r="KH1755" s="29"/>
      <c r="KI1755" s="29"/>
      <c r="KJ1755" s="29"/>
      <c r="KK1755" s="29"/>
      <c r="KL1755" s="29"/>
      <c r="KM1755" s="29"/>
      <c r="KN1755" s="29"/>
      <c r="KO1755" s="29"/>
      <c r="KP1755" s="29"/>
      <c r="KQ1755" s="29"/>
      <c r="KR1755" s="29"/>
      <c r="KS1755" s="29"/>
      <c r="KT1755" s="29"/>
      <c r="KU1755" s="29"/>
      <c r="KV1755" s="29"/>
      <c r="KW1755" s="29"/>
      <c r="KX1755" s="29"/>
      <c r="KY1755" s="29"/>
      <c r="KZ1755" s="29"/>
      <c r="LA1755" s="29"/>
      <c r="LB1755" s="29"/>
      <c r="LC1755" s="29"/>
      <c r="LD1755" s="29"/>
      <c r="LE1755" s="29"/>
      <c r="LF1755" s="29"/>
      <c r="LG1755" s="29"/>
      <c r="LH1755" s="29"/>
      <c r="LI1755" s="29"/>
      <c r="LJ1755" s="29"/>
      <c r="LK1755" s="29"/>
      <c r="LL1755" s="29"/>
      <c r="LM1755" s="29"/>
      <c r="LN1755" s="29"/>
      <c r="LO1755" s="29"/>
      <c r="LP1755" s="29"/>
      <c r="LQ1755" s="29"/>
      <c r="LR1755" s="29"/>
      <c r="LS1755" s="29"/>
      <c r="LT1755" s="29"/>
      <c r="LU1755" s="29"/>
      <c r="LV1755" s="29"/>
      <c r="LW1755" s="29"/>
      <c r="LX1755" s="29"/>
      <c r="LY1755" s="29"/>
      <c r="LZ1755" s="29"/>
      <c r="MA1755" s="29"/>
      <c r="MB1755" s="29"/>
      <c r="MC1755" s="29"/>
      <c r="MD1755" s="29"/>
      <c r="ME1755" s="29"/>
      <c r="MF1755" s="29"/>
      <c r="MG1755" s="29"/>
      <c r="MH1755" s="29"/>
      <c r="MI1755" s="29"/>
      <c r="MJ1755" s="29"/>
      <c r="MK1755" s="29"/>
      <c r="ML1755" s="29"/>
      <c r="MM1755" s="29"/>
      <c r="MN1755" s="29"/>
      <c r="MO1755" s="29"/>
      <c r="MP1755" s="29"/>
      <c r="MQ1755" s="29"/>
      <c r="MR1755" s="29"/>
      <c r="MS1755" s="29"/>
      <c r="MT1755" s="29"/>
      <c r="MU1755" s="29"/>
      <c r="MV1755" s="29"/>
      <c r="MW1755" s="29"/>
      <c r="MX1755" s="29"/>
      <c r="MY1755" s="29"/>
      <c r="MZ1755" s="29"/>
      <c r="NA1755" s="29"/>
      <c r="NB1755" s="29"/>
      <c r="NC1755" s="29"/>
      <c r="ND1755" s="29"/>
      <c r="NE1755" s="29"/>
      <c r="NF1755" s="29"/>
      <c r="NG1755" s="29"/>
      <c r="NH1755" s="29"/>
      <c r="NI1755" s="29"/>
      <c r="NJ1755" s="29"/>
      <c r="NK1755" s="29"/>
      <c r="NL1755" s="29"/>
      <c r="NM1755" s="29"/>
      <c r="NN1755" s="29"/>
      <c r="NO1755" s="29"/>
      <c r="NP1755" s="29"/>
      <c r="NQ1755" s="29"/>
      <c r="NR1755" s="29"/>
      <c r="NS1755" s="29"/>
      <c r="NT1755" s="29"/>
      <c r="NU1755" s="29"/>
      <c r="NV1755" s="29"/>
      <c r="NW1755" s="29"/>
      <c r="NX1755" s="29"/>
      <c r="NY1755" s="29"/>
      <c r="NZ1755" s="29"/>
      <c r="OA1755" s="29"/>
      <c r="OB1755" s="29"/>
      <c r="OC1755" s="29"/>
      <c r="OD1755" s="29"/>
      <c r="OE1755" s="29"/>
      <c r="OF1755" s="29"/>
      <c r="OG1755" s="29"/>
      <c r="OH1755" s="29"/>
      <c r="OI1755" s="29"/>
      <c r="OJ1755" s="29"/>
      <c r="OK1755" s="29"/>
      <c r="OL1755" s="29"/>
      <c r="OM1755" s="29"/>
      <c r="ON1755" s="29"/>
      <c r="OO1755" s="29"/>
      <c r="OP1755" s="29"/>
      <c r="OQ1755" s="29"/>
      <c r="OR1755" s="29"/>
      <c r="OS1755" s="29"/>
      <c r="OT1755" s="29"/>
      <c r="OU1755" s="29"/>
      <c r="OV1755" s="29"/>
      <c r="OW1755" s="29"/>
      <c r="OX1755" s="29"/>
      <c r="OY1755" s="29"/>
      <c r="OZ1755" s="29"/>
      <c r="PA1755" s="29"/>
      <c r="PB1755" s="29"/>
      <c r="PC1755" s="29"/>
      <c r="PD1755" s="29"/>
      <c r="PE1755" s="29"/>
      <c r="PF1755" s="29"/>
      <c r="PG1755" s="29"/>
      <c r="PH1755" s="29"/>
      <c r="PI1755" s="29"/>
      <c r="PJ1755" s="29"/>
      <c r="PK1755" s="29"/>
      <c r="PL1755" s="29"/>
      <c r="PM1755" s="29"/>
      <c r="PN1755" s="29"/>
      <c r="PO1755" s="29"/>
      <c r="PP1755" s="29"/>
      <c r="PQ1755" s="29"/>
      <c r="PR1755" s="29"/>
      <c r="PS1755" s="29"/>
      <c r="PT1755" s="29"/>
      <c r="PU1755" s="29"/>
      <c r="PV1755" s="29"/>
      <c r="PW1755" s="29"/>
      <c r="PX1755" s="29"/>
      <c r="PY1755" s="29"/>
      <c r="PZ1755" s="29"/>
      <c r="QA1755" s="29"/>
      <c r="QB1755" s="29"/>
      <c r="QC1755" s="29"/>
      <c r="QD1755" s="29"/>
      <c r="QE1755" s="29"/>
      <c r="QF1755" s="29"/>
      <c r="QG1755" s="29"/>
      <c r="QH1755" s="29"/>
      <c r="QI1755" s="29"/>
      <c r="QJ1755" s="29"/>
      <c r="QK1755" s="29"/>
      <c r="QL1755" s="29"/>
      <c r="QM1755" s="29"/>
      <c r="QN1755" s="29"/>
      <c r="QO1755" s="29"/>
      <c r="QP1755" s="29"/>
      <c r="QQ1755" s="29"/>
      <c r="QR1755" s="29"/>
      <c r="QS1755" s="29"/>
      <c r="QT1755" s="29"/>
      <c r="QU1755" s="29"/>
      <c r="QV1755" s="29"/>
      <c r="QW1755" s="29"/>
      <c r="QX1755" s="29"/>
      <c r="QY1755" s="29"/>
      <c r="QZ1755" s="29"/>
      <c r="RA1755" s="29"/>
      <c r="RB1755" s="29"/>
      <c r="RC1755" s="29"/>
      <c r="RD1755" s="29"/>
      <c r="RE1755" s="29"/>
      <c r="RF1755" s="29"/>
      <c r="RG1755" s="29"/>
      <c r="RH1755" s="29"/>
      <c r="RI1755" s="29"/>
      <c r="RJ1755" s="29"/>
      <c r="RK1755" s="29"/>
      <c r="RL1755" s="29"/>
      <c r="RM1755" s="29"/>
      <c r="RN1755" s="29"/>
      <c r="RO1755" s="29"/>
      <c r="RP1755" s="29"/>
      <c r="RQ1755" s="29"/>
      <c r="RR1755" s="29"/>
      <c r="RS1755" s="29"/>
      <c r="RT1755" s="29"/>
      <c r="RU1755" s="29"/>
      <c r="RV1755" s="29"/>
      <c r="RW1755" s="29"/>
      <c r="RX1755" s="29"/>
      <c r="RY1755" s="29"/>
      <c r="RZ1755" s="29"/>
      <c r="SA1755" s="29"/>
      <c r="SB1755" s="29"/>
      <c r="SC1755" s="29"/>
      <c r="SD1755" s="29"/>
      <c r="SE1755" s="29"/>
      <c r="SF1755" s="29"/>
      <c r="SG1755" s="29"/>
      <c r="SH1755" s="29"/>
      <c r="SI1755" s="29"/>
      <c r="SJ1755" s="29"/>
      <c r="SK1755" s="29"/>
      <c r="SL1755" s="29"/>
      <c r="SM1755" s="29"/>
      <c r="SN1755" s="29"/>
      <c r="SO1755" s="29"/>
      <c r="SP1755" s="29"/>
      <c r="SQ1755" s="29"/>
      <c r="SR1755" s="29"/>
      <c r="SS1755" s="29"/>
      <c r="ST1755" s="29"/>
      <c r="SU1755" s="29"/>
      <c r="SV1755" s="29"/>
      <c r="SW1755" s="29"/>
      <c r="SX1755" s="29"/>
      <c r="SY1755" s="29"/>
      <c r="SZ1755" s="29"/>
      <c r="TA1755" s="29"/>
      <c r="TB1755" s="29"/>
      <c r="TC1755" s="29"/>
      <c r="TD1755" s="29"/>
      <c r="TE1755" s="29"/>
      <c r="TF1755" s="29"/>
      <c r="TG1755" s="29"/>
      <c r="TH1755" s="29"/>
      <c r="TI1755" s="29"/>
      <c r="TJ1755" s="29"/>
      <c r="TK1755" s="29"/>
      <c r="TL1755" s="29"/>
      <c r="TM1755" s="29"/>
      <c r="TN1755" s="29"/>
      <c r="TO1755" s="29"/>
      <c r="TP1755" s="29"/>
      <c r="TQ1755" s="29"/>
      <c r="TR1755" s="29"/>
      <c r="TS1755" s="29"/>
      <c r="TT1755" s="29"/>
      <c r="TU1755" s="29"/>
      <c r="TV1755" s="29"/>
      <c r="TW1755" s="29"/>
      <c r="TX1755" s="29"/>
      <c r="TY1755" s="29"/>
      <c r="TZ1755" s="29"/>
      <c r="UA1755" s="29"/>
      <c r="UB1755" s="29"/>
      <c r="UC1755" s="29"/>
      <c r="UD1755" s="29"/>
      <c r="UE1755" s="29"/>
      <c r="UF1755" s="29"/>
      <c r="UG1755" s="29"/>
      <c r="UH1755" s="29"/>
      <c r="UI1755" s="29"/>
      <c r="UJ1755" s="29"/>
      <c r="UK1755" s="29"/>
      <c r="UL1755" s="29"/>
      <c r="UM1755" s="29"/>
      <c r="UN1755" s="29"/>
      <c r="UO1755" s="29"/>
      <c r="UP1755" s="29"/>
      <c r="UQ1755" s="29"/>
      <c r="UR1755" s="29"/>
      <c r="US1755" s="29"/>
      <c r="UT1755" s="29"/>
      <c r="UU1755" s="29"/>
      <c r="UV1755" s="29"/>
      <c r="UW1755" s="29"/>
      <c r="UX1755" s="29"/>
      <c r="UY1755" s="29"/>
      <c r="UZ1755" s="29"/>
      <c r="VA1755" s="29"/>
      <c r="VB1755" s="29"/>
      <c r="VC1755" s="29"/>
      <c r="VD1755" s="29"/>
      <c r="VE1755" s="29"/>
      <c r="VF1755" s="29"/>
      <c r="VG1755" s="29"/>
      <c r="VH1755" s="29"/>
      <c r="VI1755" s="29"/>
      <c r="VJ1755" s="29"/>
      <c r="VK1755" s="29"/>
      <c r="VL1755" s="29"/>
      <c r="VM1755" s="29"/>
      <c r="VN1755" s="29"/>
      <c r="VO1755" s="29"/>
      <c r="VP1755" s="29"/>
      <c r="VQ1755" s="29"/>
      <c r="VR1755" s="29"/>
      <c r="VS1755" s="29"/>
      <c r="VT1755" s="29"/>
      <c r="VU1755" s="29"/>
      <c r="VV1755" s="29"/>
      <c r="VW1755" s="29"/>
      <c r="VX1755" s="29"/>
      <c r="VY1755" s="29"/>
      <c r="VZ1755" s="29"/>
      <c r="WA1755" s="29"/>
      <c r="WB1755" s="29"/>
    </row>
    <row r="1820" spans="1:600" x14ac:dyDescent="0.3">
      <c r="A1820" s="29"/>
      <c r="B1820" s="29"/>
      <c r="C1820" s="29"/>
      <c r="D1820" s="29"/>
      <c r="E1820" s="29"/>
      <c r="F1820" s="29"/>
      <c r="G1820" s="29"/>
      <c r="H1820" s="29"/>
      <c r="I1820" s="29"/>
      <c r="J1820" s="29"/>
      <c r="K1820" s="29"/>
      <c r="L1820" s="29"/>
      <c r="M1820" s="29"/>
      <c r="N1820" s="29"/>
      <c r="O1820" s="29"/>
      <c r="P1820" s="29"/>
      <c r="Q1820" s="29"/>
      <c r="R1820" s="29"/>
      <c r="S1820" s="29"/>
      <c r="T1820" s="29"/>
      <c r="U1820" s="29"/>
      <c r="V1820" s="29"/>
      <c r="W1820" s="29"/>
      <c r="X1820" s="29"/>
      <c r="Y1820" s="29"/>
      <c r="Z1820" s="29"/>
      <c r="AA1820" s="29"/>
      <c r="AB1820" s="29"/>
      <c r="AC1820" s="29"/>
      <c r="AD1820" s="29"/>
      <c r="AE1820" s="29"/>
      <c r="AF1820" s="29"/>
      <c r="AG1820" s="29"/>
      <c r="AH1820" s="29"/>
      <c r="AI1820" s="29"/>
      <c r="AJ1820" s="29"/>
      <c r="AK1820" s="29"/>
      <c r="AL1820" s="29"/>
      <c r="AM1820" s="29"/>
      <c r="AN1820" s="29"/>
      <c r="AO1820" s="29"/>
      <c r="AP1820" s="29"/>
      <c r="AQ1820" s="29"/>
      <c r="AR1820" s="29"/>
      <c r="AS1820" s="29"/>
      <c r="AT1820" s="29"/>
      <c r="AU1820" s="29"/>
      <c r="AV1820" s="29"/>
      <c r="AW1820" s="29"/>
      <c r="AX1820" s="29"/>
      <c r="AY1820" s="29"/>
      <c r="AZ1820" s="29"/>
      <c r="BA1820" s="29"/>
      <c r="BB1820" s="29"/>
      <c r="BC1820" s="29"/>
      <c r="BD1820" s="29"/>
      <c r="BE1820" s="29"/>
      <c r="BF1820" s="29"/>
      <c r="BG1820" s="29"/>
      <c r="BH1820" s="29"/>
      <c r="BI1820" s="29"/>
      <c r="BJ1820" s="29"/>
      <c r="BK1820" s="29"/>
      <c r="BL1820" s="29"/>
      <c r="BM1820" s="29"/>
      <c r="BN1820" s="29"/>
      <c r="BO1820" s="29"/>
      <c r="BP1820" s="29"/>
      <c r="BQ1820" s="29"/>
      <c r="BR1820" s="29"/>
      <c r="BS1820" s="29"/>
      <c r="BT1820" s="29"/>
      <c r="BU1820" s="29"/>
      <c r="BV1820" s="29"/>
      <c r="BW1820" s="29"/>
      <c r="BX1820" s="29"/>
      <c r="BY1820" s="29"/>
      <c r="BZ1820" s="29"/>
      <c r="CA1820" s="29"/>
      <c r="CB1820" s="29"/>
      <c r="CC1820" s="29"/>
      <c r="CD1820" s="29"/>
      <c r="CE1820" s="29"/>
      <c r="CF1820" s="29"/>
      <c r="CG1820" s="29"/>
      <c r="CH1820" s="29"/>
      <c r="CI1820" s="29"/>
      <c r="CJ1820" s="29"/>
      <c r="CK1820" s="29"/>
      <c r="CL1820" s="29"/>
      <c r="CM1820" s="29"/>
      <c r="CN1820" s="29"/>
      <c r="CO1820" s="29"/>
      <c r="CP1820" s="29"/>
      <c r="CQ1820" s="29"/>
      <c r="CR1820" s="29"/>
      <c r="CS1820" s="29"/>
      <c r="CT1820" s="29"/>
      <c r="CU1820" s="29"/>
      <c r="CV1820" s="29"/>
      <c r="CW1820" s="29"/>
      <c r="CX1820" s="29"/>
      <c r="CY1820" s="29"/>
      <c r="CZ1820" s="29"/>
      <c r="DA1820" s="29"/>
      <c r="DB1820" s="29"/>
      <c r="DC1820" s="29"/>
      <c r="DD1820" s="29"/>
      <c r="DE1820" s="29"/>
      <c r="DF1820" s="29"/>
      <c r="DG1820" s="29"/>
      <c r="DH1820" s="29"/>
      <c r="DI1820" s="29"/>
      <c r="DJ1820" s="29"/>
      <c r="DK1820" s="29"/>
      <c r="DL1820" s="29"/>
      <c r="DM1820" s="29"/>
      <c r="DN1820" s="29"/>
      <c r="DO1820" s="29"/>
      <c r="DP1820" s="29"/>
      <c r="DQ1820" s="29"/>
      <c r="DR1820" s="29"/>
      <c r="DS1820" s="29"/>
      <c r="DT1820" s="29"/>
      <c r="DU1820" s="29"/>
      <c r="DV1820" s="29"/>
      <c r="DW1820" s="29"/>
      <c r="DX1820" s="29"/>
      <c r="DY1820" s="29"/>
      <c r="DZ1820" s="29"/>
      <c r="EA1820" s="29"/>
      <c r="EB1820" s="29"/>
      <c r="EC1820" s="29"/>
      <c r="ED1820" s="29"/>
      <c r="EE1820" s="29"/>
      <c r="EF1820" s="29"/>
      <c r="EG1820" s="29"/>
      <c r="EH1820" s="29"/>
      <c r="EI1820" s="29"/>
      <c r="EJ1820" s="29"/>
      <c r="EK1820" s="29"/>
      <c r="EL1820" s="29"/>
      <c r="EM1820" s="29"/>
      <c r="EN1820" s="29"/>
      <c r="EO1820" s="29"/>
      <c r="EP1820" s="29"/>
      <c r="EQ1820" s="29"/>
      <c r="ER1820" s="29"/>
      <c r="ES1820" s="29"/>
      <c r="ET1820" s="29"/>
      <c r="EU1820" s="29"/>
      <c r="EV1820" s="29"/>
      <c r="EW1820" s="29"/>
      <c r="EX1820" s="29"/>
      <c r="EY1820" s="29"/>
      <c r="EZ1820" s="29"/>
      <c r="FA1820" s="29"/>
      <c r="FB1820" s="29"/>
      <c r="FC1820" s="29"/>
      <c r="FD1820" s="29"/>
      <c r="FE1820" s="29"/>
      <c r="FF1820" s="29"/>
      <c r="FG1820" s="29"/>
      <c r="FH1820" s="29"/>
      <c r="FI1820" s="29"/>
      <c r="FJ1820" s="29"/>
      <c r="FK1820" s="29"/>
      <c r="FL1820" s="29"/>
      <c r="FM1820" s="29"/>
      <c r="FN1820" s="29"/>
      <c r="FO1820" s="29"/>
      <c r="FP1820" s="29"/>
      <c r="FQ1820" s="29"/>
      <c r="FR1820" s="29"/>
      <c r="FS1820" s="29"/>
      <c r="FT1820" s="29"/>
      <c r="FU1820" s="29"/>
      <c r="FV1820" s="29"/>
      <c r="FW1820" s="29"/>
      <c r="FX1820" s="29"/>
      <c r="FY1820" s="29"/>
      <c r="FZ1820" s="29"/>
      <c r="GA1820" s="29"/>
      <c r="GB1820" s="29"/>
      <c r="GC1820" s="29"/>
      <c r="GD1820" s="29"/>
      <c r="GE1820" s="29"/>
      <c r="GF1820" s="29"/>
      <c r="GG1820" s="29"/>
      <c r="GH1820" s="29"/>
      <c r="GI1820" s="29"/>
      <c r="GJ1820" s="29"/>
      <c r="GK1820" s="29"/>
      <c r="GL1820" s="29"/>
      <c r="GM1820" s="29"/>
      <c r="GN1820" s="29"/>
      <c r="GO1820" s="29"/>
      <c r="GP1820" s="29"/>
      <c r="GQ1820" s="29"/>
      <c r="GR1820" s="29"/>
      <c r="GS1820" s="29"/>
      <c r="GT1820" s="29"/>
      <c r="GU1820" s="29"/>
      <c r="GV1820" s="29"/>
      <c r="GW1820" s="29"/>
      <c r="GX1820" s="29"/>
      <c r="GY1820" s="29"/>
      <c r="GZ1820" s="29"/>
      <c r="HA1820" s="29"/>
      <c r="HB1820" s="29"/>
      <c r="HC1820" s="29"/>
      <c r="HD1820" s="29"/>
      <c r="HE1820" s="29"/>
      <c r="HF1820" s="29"/>
      <c r="HG1820" s="29"/>
      <c r="HH1820" s="29"/>
      <c r="HI1820" s="29"/>
      <c r="HJ1820" s="29"/>
      <c r="HK1820" s="29"/>
      <c r="HL1820" s="29"/>
      <c r="HM1820" s="29"/>
      <c r="HN1820" s="29"/>
      <c r="HO1820" s="29"/>
      <c r="HP1820" s="29"/>
      <c r="HQ1820" s="29"/>
      <c r="HR1820" s="29"/>
      <c r="HS1820" s="29"/>
      <c r="HT1820" s="29"/>
      <c r="HU1820" s="29"/>
      <c r="HV1820" s="29"/>
      <c r="HW1820" s="29"/>
      <c r="HX1820" s="29"/>
      <c r="HY1820" s="29"/>
      <c r="HZ1820" s="29"/>
      <c r="IA1820" s="29"/>
      <c r="IB1820" s="29"/>
      <c r="IC1820" s="29"/>
      <c r="ID1820" s="29"/>
      <c r="IE1820" s="29"/>
      <c r="IF1820" s="29"/>
      <c r="IG1820" s="29"/>
      <c r="IH1820" s="29"/>
      <c r="II1820" s="29"/>
      <c r="IJ1820" s="29"/>
      <c r="IK1820" s="29"/>
      <c r="IL1820" s="29"/>
      <c r="IM1820" s="29"/>
      <c r="IN1820" s="29"/>
      <c r="IO1820" s="29"/>
      <c r="IP1820" s="29"/>
      <c r="IQ1820" s="29"/>
      <c r="IR1820" s="29"/>
      <c r="IS1820" s="29"/>
      <c r="IT1820" s="29"/>
      <c r="IU1820" s="29"/>
      <c r="IV1820" s="29"/>
      <c r="IW1820" s="29"/>
      <c r="IX1820" s="29"/>
      <c r="IY1820" s="29"/>
      <c r="IZ1820" s="29"/>
      <c r="JA1820" s="29"/>
      <c r="JB1820" s="29"/>
      <c r="JC1820" s="29"/>
      <c r="JD1820" s="29"/>
      <c r="JE1820" s="29"/>
      <c r="JF1820" s="29"/>
      <c r="JG1820" s="29"/>
      <c r="JH1820" s="29"/>
      <c r="JI1820" s="29"/>
      <c r="JJ1820" s="29"/>
      <c r="JK1820" s="29"/>
      <c r="JL1820" s="29"/>
      <c r="JM1820" s="29"/>
      <c r="JN1820" s="29"/>
      <c r="JO1820" s="29"/>
      <c r="JP1820" s="29"/>
      <c r="JQ1820" s="29"/>
      <c r="JR1820" s="29"/>
      <c r="JS1820" s="29"/>
      <c r="JT1820" s="29"/>
      <c r="JU1820" s="29"/>
      <c r="JV1820" s="29"/>
      <c r="JW1820" s="29"/>
      <c r="JX1820" s="29"/>
      <c r="JY1820" s="29"/>
      <c r="JZ1820" s="29"/>
      <c r="KA1820" s="29"/>
      <c r="KB1820" s="29"/>
      <c r="KC1820" s="29"/>
      <c r="KD1820" s="29"/>
      <c r="KE1820" s="29"/>
      <c r="KF1820" s="29"/>
      <c r="KG1820" s="29"/>
      <c r="KH1820" s="29"/>
      <c r="KI1820" s="29"/>
      <c r="KJ1820" s="29"/>
      <c r="KK1820" s="29"/>
      <c r="KL1820" s="29"/>
      <c r="KM1820" s="29"/>
      <c r="KN1820" s="29"/>
      <c r="KO1820" s="29"/>
      <c r="KP1820" s="29"/>
      <c r="KQ1820" s="29"/>
      <c r="KR1820" s="29"/>
      <c r="KS1820" s="29"/>
      <c r="KT1820" s="29"/>
      <c r="KU1820" s="29"/>
      <c r="KV1820" s="29"/>
      <c r="KW1820" s="29"/>
      <c r="KX1820" s="29"/>
      <c r="KY1820" s="29"/>
      <c r="KZ1820" s="29"/>
      <c r="LA1820" s="29"/>
      <c r="LB1820" s="29"/>
      <c r="LC1820" s="29"/>
      <c r="LD1820" s="29"/>
      <c r="LE1820" s="29"/>
      <c r="LF1820" s="29"/>
      <c r="LG1820" s="29"/>
      <c r="LH1820" s="29"/>
      <c r="LI1820" s="29"/>
      <c r="LJ1820" s="29"/>
      <c r="LK1820" s="29"/>
      <c r="LL1820" s="29"/>
      <c r="LM1820" s="29"/>
      <c r="LN1820" s="29"/>
      <c r="LO1820" s="29"/>
      <c r="LP1820" s="29"/>
      <c r="LQ1820" s="29"/>
      <c r="LR1820" s="29"/>
      <c r="LS1820" s="29"/>
      <c r="LT1820" s="29"/>
      <c r="LU1820" s="29"/>
      <c r="LV1820" s="29"/>
      <c r="LW1820" s="29"/>
      <c r="LX1820" s="29"/>
      <c r="LY1820" s="29"/>
      <c r="LZ1820" s="29"/>
      <c r="MA1820" s="29"/>
      <c r="MB1820" s="29"/>
      <c r="MC1820" s="29"/>
      <c r="MD1820" s="29"/>
      <c r="ME1820" s="29"/>
      <c r="MF1820" s="29"/>
      <c r="MG1820" s="29"/>
      <c r="MH1820" s="29"/>
      <c r="MI1820" s="29"/>
      <c r="MJ1820" s="29"/>
      <c r="MK1820" s="29"/>
      <c r="ML1820" s="29"/>
      <c r="MM1820" s="29"/>
      <c r="MN1820" s="29"/>
      <c r="MO1820" s="29"/>
      <c r="MP1820" s="29"/>
      <c r="MQ1820" s="29"/>
      <c r="MR1820" s="29"/>
      <c r="MS1820" s="29"/>
      <c r="MT1820" s="29"/>
      <c r="MU1820" s="29"/>
      <c r="MV1820" s="29"/>
      <c r="MW1820" s="29"/>
      <c r="MX1820" s="29"/>
      <c r="MY1820" s="29"/>
      <c r="MZ1820" s="29"/>
      <c r="NA1820" s="29"/>
      <c r="NB1820" s="29"/>
      <c r="NC1820" s="29"/>
      <c r="ND1820" s="29"/>
      <c r="NE1820" s="29"/>
      <c r="NF1820" s="29"/>
      <c r="NG1820" s="29"/>
      <c r="NH1820" s="29"/>
      <c r="NI1820" s="29"/>
      <c r="NJ1820" s="29"/>
      <c r="NK1820" s="29"/>
      <c r="NL1820" s="29"/>
      <c r="NM1820" s="29"/>
      <c r="NN1820" s="29"/>
      <c r="NO1820" s="29"/>
      <c r="NP1820" s="29"/>
      <c r="NQ1820" s="29"/>
      <c r="NR1820" s="29"/>
      <c r="NS1820" s="29"/>
      <c r="NT1820" s="29"/>
      <c r="NU1820" s="29"/>
      <c r="NV1820" s="29"/>
      <c r="NW1820" s="29"/>
      <c r="NX1820" s="29"/>
      <c r="NY1820" s="29"/>
      <c r="NZ1820" s="29"/>
      <c r="OA1820" s="29"/>
      <c r="OB1820" s="29"/>
      <c r="OC1820" s="29"/>
      <c r="OD1820" s="29"/>
      <c r="OE1820" s="29"/>
      <c r="OF1820" s="29"/>
      <c r="OG1820" s="29"/>
      <c r="OH1820" s="29"/>
      <c r="OI1820" s="29"/>
      <c r="OJ1820" s="29"/>
      <c r="OK1820" s="29"/>
      <c r="OL1820" s="29"/>
      <c r="OM1820" s="29"/>
      <c r="ON1820" s="29"/>
      <c r="OO1820" s="29"/>
      <c r="OP1820" s="29"/>
      <c r="OQ1820" s="29"/>
      <c r="OR1820" s="29"/>
      <c r="OS1820" s="29"/>
      <c r="OT1820" s="29"/>
      <c r="OU1820" s="29"/>
      <c r="OV1820" s="29"/>
      <c r="OW1820" s="29"/>
      <c r="OX1820" s="29"/>
      <c r="OY1820" s="29"/>
      <c r="OZ1820" s="29"/>
      <c r="PA1820" s="29"/>
      <c r="PB1820" s="29"/>
      <c r="PC1820" s="29"/>
      <c r="PD1820" s="29"/>
      <c r="PE1820" s="29"/>
      <c r="PF1820" s="29"/>
      <c r="PG1820" s="29"/>
      <c r="PH1820" s="29"/>
      <c r="PI1820" s="29"/>
      <c r="PJ1820" s="29"/>
      <c r="PK1820" s="29"/>
      <c r="PL1820" s="29"/>
      <c r="PM1820" s="29"/>
      <c r="PN1820" s="29"/>
      <c r="PO1820" s="29"/>
      <c r="PP1820" s="29"/>
      <c r="PQ1820" s="29"/>
      <c r="PR1820" s="29"/>
      <c r="PS1820" s="29"/>
      <c r="PT1820" s="29"/>
      <c r="PU1820" s="29"/>
      <c r="PV1820" s="29"/>
      <c r="PW1820" s="29"/>
      <c r="PX1820" s="29"/>
      <c r="PY1820" s="29"/>
      <c r="PZ1820" s="29"/>
      <c r="QA1820" s="29"/>
      <c r="QB1820" s="29"/>
      <c r="QC1820" s="29"/>
      <c r="QD1820" s="29"/>
      <c r="QE1820" s="29"/>
      <c r="QF1820" s="29"/>
      <c r="QG1820" s="29"/>
      <c r="QH1820" s="29"/>
      <c r="QI1820" s="29"/>
      <c r="QJ1820" s="29"/>
      <c r="QK1820" s="29"/>
      <c r="QL1820" s="29"/>
      <c r="QM1820" s="29"/>
      <c r="QN1820" s="29"/>
      <c r="QO1820" s="29"/>
      <c r="QP1820" s="29"/>
      <c r="QQ1820" s="29"/>
      <c r="QR1820" s="29"/>
      <c r="QS1820" s="29"/>
      <c r="QT1820" s="29"/>
      <c r="QU1820" s="29"/>
      <c r="QV1820" s="29"/>
      <c r="QW1820" s="29"/>
      <c r="QX1820" s="29"/>
      <c r="QY1820" s="29"/>
      <c r="QZ1820" s="29"/>
      <c r="RA1820" s="29"/>
      <c r="RB1820" s="29"/>
      <c r="RC1820" s="29"/>
      <c r="RD1820" s="29"/>
      <c r="RE1820" s="29"/>
      <c r="RF1820" s="29"/>
      <c r="RG1820" s="29"/>
      <c r="RH1820" s="29"/>
      <c r="RI1820" s="29"/>
      <c r="RJ1820" s="29"/>
      <c r="RK1820" s="29"/>
      <c r="RL1820" s="29"/>
      <c r="RM1820" s="29"/>
      <c r="RN1820" s="29"/>
      <c r="RO1820" s="29"/>
      <c r="RP1820" s="29"/>
      <c r="RQ1820" s="29"/>
      <c r="RR1820" s="29"/>
      <c r="RS1820" s="29"/>
      <c r="RT1820" s="29"/>
      <c r="RU1820" s="29"/>
      <c r="RV1820" s="29"/>
      <c r="RW1820" s="29"/>
      <c r="RX1820" s="29"/>
      <c r="RY1820" s="29"/>
      <c r="RZ1820" s="29"/>
      <c r="SA1820" s="29"/>
      <c r="SB1820" s="29"/>
      <c r="SC1820" s="29"/>
      <c r="SD1820" s="29"/>
      <c r="SE1820" s="29"/>
      <c r="SF1820" s="29"/>
      <c r="SG1820" s="29"/>
      <c r="SH1820" s="29"/>
      <c r="SI1820" s="29"/>
      <c r="SJ1820" s="29"/>
      <c r="SK1820" s="29"/>
      <c r="SL1820" s="29"/>
      <c r="SM1820" s="29"/>
      <c r="SN1820" s="29"/>
      <c r="SO1820" s="29"/>
      <c r="SP1820" s="29"/>
      <c r="SQ1820" s="29"/>
      <c r="SR1820" s="29"/>
      <c r="SS1820" s="29"/>
      <c r="ST1820" s="29"/>
      <c r="SU1820" s="29"/>
      <c r="SV1820" s="29"/>
      <c r="SW1820" s="29"/>
      <c r="SX1820" s="29"/>
      <c r="SY1820" s="29"/>
      <c r="SZ1820" s="29"/>
      <c r="TA1820" s="29"/>
      <c r="TB1820" s="29"/>
      <c r="TC1820" s="29"/>
      <c r="TD1820" s="29"/>
      <c r="TE1820" s="29"/>
      <c r="TF1820" s="29"/>
      <c r="TG1820" s="29"/>
      <c r="TH1820" s="29"/>
      <c r="TI1820" s="29"/>
      <c r="TJ1820" s="29"/>
      <c r="TK1820" s="29"/>
      <c r="TL1820" s="29"/>
      <c r="TM1820" s="29"/>
      <c r="TN1820" s="29"/>
      <c r="TO1820" s="29"/>
      <c r="TP1820" s="29"/>
      <c r="TQ1820" s="29"/>
      <c r="TR1820" s="29"/>
      <c r="TS1820" s="29"/>
      <c r="TT1820" s="29"/>
      <c r="TU1820" s="29"/>
      <c r="TV1820" s="29"/>
      <c r="TW1820" s="29"/>
      <c r="TX1820" s="29"/>
      <c r="TY1820" s="29"/>
      <c r="TZ1820" s="29"/>
      <c r="UA1820" s="29"/>
      <c r="UB1820" s="29"/>
      <c r="UC1820" s="29"/>
      <c r="UD1820" s="29"/>
      <c r="UE1820" s="29"/>
      <c r="UF1820" s="29"/>
      <c r="UG1820" s="29"/>
      <c r="UH1820" s="29"/>
      <c r="UI1820" s="29"/>
      <c r="UJ1820" s="29"/>
      <c r="UK1820" s="29"/>
      <c r="UL1820" s="29"/>
      <c r="UM1820" s="29"/>
      <c r="UN1820" s="29"/>
      <c r="UO1820" s="29"/>
      <c r="UP1820" s="29"/>
      <c r="UQ1820" s="29"/>
      <c r="UR1820" s="29"/>
      <c r="US1820" s="29"/>
      <c r="UT1820" s="29"/>
      <c r="UU1820" s="29"/>
      <c r="UV1820" s="29"/>
      <c r="UW1820" s="29"/>
      <c r="UX1820" s="29"/>
      <c r="UY1820" s="29"/>
      <c r="UZ1820" s="29"/>
      <c r="VA1820" s="29"/>
      <c r="VB1820" s="29"/>
      <c r="VC1820" s="29"/>
      <c r="VD1820" s="29"/>
      <c r="VE1820" s="29"/>
      <c r="VF1820" s="29"/>
      <c r="VG1820" s="29"/>
      <c r="VH1820" s="29"/>
      <c r="VI1820" s="29"/>
      <c r="VJ1820" s="29"/>
      <c r="VK1820" s="29"/>
      <c r="VL1820" s="29"/>
      <c r="VM1820" s="29"/>
      <c r="VN1820" s="29"/>
      <c r="VO1820" s="29"/>
      <c r="VP1820" s="29"/>
      <c r="VQ1820" s="29"/>
      <c r="VR1820" s="29"/>
      <c r="VS1820" s="29"/>
      <c r="VT1820" s="29"/>
      <c r="VU1820" s="29"/>
      <c r="VV1820" s="29"/>
      <c r="VW1820" s="29"/>
      <c r="VX1820" s="29"/>
      <c r="VY1820" s="29"/>
      <c r="VZ1820" s="29"/>
      <c r="WA1820" s="29"/>
      <c r="WB1820" s="29"/>
    </row>
    <row r="1885" spans="1:600" x14ac:dyDescent="0.3">
      <c r="A1885" s="29"/>
      <c r="B1885" s="29"/>
      <c r="C1885" s="29"/>
      <c r="D1885" s="29"/>
      <c r="E1885" s="29"/>
      <c r="F1885" s="29"/>
      <c r="G1885" s="29"/>
      <c r="H1885" s="29"/>
      <c r="I1885" s="29"/>
      <c r="J1885" s="29"/>
      <c r="K1885" s="29"/>
      <c r="L1885" s="29"/>
      <c r="M1885" s="29"/>
      <c r="N1885" s="29"/>
      <c r="O1885" s="29"/>
      <c r="P1885" s="29"/>
      <c r="Q1885" s="29"/>
      <c r="R1885" s="29"/>
      <c r="S1885" s="29"/>
      <c r="T1885" s="29"/>
      <c r="U1885" s="29"/>
      <c r="V1885" s="29"/>
      <c r="W1885" s="29"/>
      <c r="X1885" s="29"/>
      <c r="Y1885" s="29"/>
      <c r="Z1885" s="29"/>
      <c r="AA1885" s="29"/>
      <c r="AB1885" s="29"/>
      <c r="AC1885" s="29"/>
      <c r="AD1885" s="29"/>
      <c r="AE1885" s="29"/>
      <c r="AF1885" s="29"/>
      <c r="AG1885" s="29"/>
      <c r="AH1885" s="29"/>
      <c r="AI1885" s="29"/>
      <c r="AJ1885" s="29"/>
      <c r="AK1885" s="29"/>
      <c r="AL1885" s="29"/>
      <c r="AM1885" s="29"/>
      <c r="AN1885" s="29"/>
      <c r="AO1885" s="29"/>
      <c r="AP1885" s="29"/>
      <c r="AQ1885" s="29"/>
      <c r="AR1885" s="29"/>
      <c r="AS1885" s="29"/>
      <c r="AT1885" s="29"/>
      <c r="AU1885" s="29"/>
      <c r="AV1885" s="29"/>
      <c r="AW1885" s="29"/>
      <c r="AX1885" s="29"/>
      <c r="AY1885" s="29"/>
      <c r="AZ1885" s="29"/>
      <c r="BA1885" s="29"/>
      <c r="BB1885" s="29"/>
      <c r="BC1885" s="29"/>
      <c r="BD1885" s="29"/>
      <c r="BE1885" s="29"/>
      <c r="BF1885" s="29"/>
      <c r="BG1885" s="29"/>
      <c r="BH1885" s="29"/>
      <c r="BI1885" s="29"/>
      <c r="BJ1885" s="29"/>
      <c r="BK1885" s="29"/>
      <c r="BL1885" s="29"/>
      <c r="BM1885" s="29"/>
      <c r="BN1885" s="29"/>
      <c r="BO1885" s="29"/>
      <c r="BP1885" s="29"/>
      <c r="BQ1885" s="29"/>
      <c r="BR1885" s="29"/>
      <c r="BS1885" s="29"/>
      <c r="BT1885" s="29"/>
      <c r="BU1885" s="29"/>
      <c r="BV1885" s="29"/>
      <c r="BW1885" s="29"/>
      <c r="BX1885" s="29"/>
      <c r="BY1885" s="29"/>
      <c r="BZ1885" s="29"/>
      <c r="CA1885" s="29"/>
      <c r="CB1885" s="29"/>
      <c r="CC1885" s="29"/>
      <c r="CD1885" s="29"/>
      <c r="CE1885" s="29"/>
      <c r="CF1885" s="29"/>
      <c r="CG1885" s="29"/>
      <c r="CH1885" s="29"/>
      <c r="CI1885" s="29"/>
      <c r="CJ1885" s="29"/>
      <c r="CK1885" s="29"/>
      <c r="CL1885" s="29"/>
      <c r="CM1885" s="29"/>
      <c r="CN1885" s="29"/>
      <c r="CO1885" s="29"/>
      <c r="CP1885" s="29"/>
      <c r="CQ1885" s="29"/>
      <c r="CR1885" s="29"/>
      <c r="CS1885" s="29"/>
      <c r="CT1885" s="29"/>
      <c r="CU1885" s="29"/>
      <c r="CV1885" s="29"/>
      <c r="CW1885" s="29"/>
      <c r="CX1885" s="29"/>
      <c r="CY1885" s="29"/>
      <c r="CZ1885" s="29"/>
      <c r="DA1885" s="29"/>
      <c r="DB1885" s="29"/>
      <c r="DC1885" s="29"/>
      <c r="DD1885" s="29"/>
      <c r="DE1885" s="29"/>
      <c r="DF1885" s="29"/>
      <c r="DG1885" s="29"/>
      <c r="DH1885" s="29"/>
      <c r="DI1885" s="29"/>
      <c r="DJ1885" s="29"/>
      <c r="DK1885" s="29"/>
      <c r="DL1885" s="29"/>
      <c r="DM1885" s="29"/>
      <c r="DN1885" s="29"/>
      <c r="DO1885" s="29"/>
      <c r="DP1885" s="29"/>
      <c r="DQ1885" s="29"/>
      <c r="DR1885" s="29"/>
      <c r="DS1885" s="29"/>
      <c r="DT1885" s="29"/>
      <c r="DU1885" s="29"/>
      <c r="DV1885" s="29"/>
      <c r="DW1885" s="29"/>
      <c r="DX1885" s="29"/>
      <c r="DY1885" s="29"/>
      <c r="DZ1885" s="29"/>
      <c r="EA1885" s="29"/>
      <c r="EB1885" s="29"/>
      <c r="EC1885" s="29"/>
      <c r="ED1885" s="29"/>
      <c r="EE1885" s="29"/>
      <c r="EF1885" s="29"/>
      <c r="EG1885" s="29"/>
      <c r="EH1885" s="29"/>
      <c r="EI1885" s="29"/>
      <c r="EJ1885" s="29"/>
      <c r="EK1885" s="29"/>
      <c r="EL1885" s="29"/>
      <c r="EM1885" s="29"/>
      <c r="EN1885" s="29"/>
      <c r="EO1885" s="29"/>
      <c r="EP1885" s="29"/>
      <c r="EQ1885" s="29"/>
      <c r="ER1885" s="29"/>
      <c r="ES1885" s="29"/>
      <c r="ET1885" s="29"/>
      <c r="EU1885" s="29"/>
      <c r="EV1885" s="29"/>
      <c r="EW1885" s="29"/>
      <c r="EX1885" s="29"/>
      <c r="EY1885" s="29"/>
      <c r="EZ1885" s="29"/>
      <c r="FA1885" s="29"/>
      <c r="FB1885" s="29"/>
      <c r="FC1885" s="29"/>
      <c r="FD1885" s="29"/>
      <c r="FE1885" s="29"/>
      <c r="FF1885" s="29"/>
      <c r="FG1885" s="29"/>
      <c r="FH1885" s="29"/>
      <c r="FI1885" s="29"/>
      <c r="FJ1885" s="29"/>
      <c r="FK1885" s="29"/>
      <c r="FL1885" s="29"/>
      <c r="FM1885" s="29"/>
      <c r="FN1885" s="29"/>
      <c r="FO1885" s="29"/>
      <c r="FP1885" s="29"/>
      <c r="FQ1885" s="29"/>
      <c r="FR1885" s="29"/>
      <c r="FS1885" s="29"/>
      <c r="FT1885" s="29"/>
      <c r="FU1885" s="29"/>
      <c r="FV1885" s="29"/>
      <c r="FW1885" s="29"/>
      <c r="FX1885" s="29"/>
      <c r="FY1885" s="29"/>
      <c r="FZ1885" s="29"/>
      <c r="GA1885" s="29"/>
      <c r="GB1885" s="29"/>
      <c r="GC1885" s="29"/>
      <c r="GD1885" s="29"/>
      <c r="GE1885" s="29"/>
      <c r="GF1885" s="29"/>
      <c r="GG1885" s="29"/>
      <c r="GH1885" s="29"/>
      <c r="GI1885" s="29"/>
      <c r="GJ1885" s="29"/>
      <c r="GK1885" s="29"/>
      <c r="GL1885" s="29"/>
      <c r="GM1885" s="29"/>
      <c r="GN1885" s="29"/>
      <c r="GO1885" s="29"/>
      <c r="GP1885" s="29"/>
      <c r="GQ1885" s="29"/>
      <c r="GR1885" s="29"/>
      <c r="GS1885" s="29"/>
      <c r="GT1885" s="29"/>
      <c r="GU1885" s="29"/>
      <c r="GV1885" s="29"/>
      <c r="GW1885" s="29"/>
      <c r="GX1885" s="29"/>
      <c r="GY1885" s="29"/>
      <c r="GZ1885" s="29"/>
      <c r="HA1885" s="29"/>
      <c r="HB1885" s="29"/>
      <c r="HC1885" s="29"/>
      <c r="HD1885" s="29"/>
      <c r="HE1885" s="29"/>
      <c r="HF1885" s="29"/>
      <c r="HG1885" s="29"/>
      <c r="HH1885" s="29"/>
      <c r="HI1885" s="29"/>
      <c r="HJ1885" s="29"/>
      <c r="HK1885" s="29"/>
      <c r="HL1885" s="29"/>
      <c r="HM1885" s="29"/>
      <c r="HN1885" s="29"/>
      <c r="HO1885" s="29"/>
      <c r="HP1885" s="29"/>
      <c r="HQ1885" s="29"/>
      <c r="HR1885" s="29"/>
      <c r="HS1885" s="29"/>
      <c r="HT1885" s="29"/>
      <c r="HU1885" s="29"/>
      <c r="HV1885" s="29"/>
      <c r="HW1885" s="29"/>
      <c r="HX1885" s="29"/>
      <c r="HY1885" s="29"/>
      <c r="HZ1885" s="29"/>
      <c r="IA1885" s="29"/>
      <c r="IB1885" s="29"/>
      <c r="IC1885" s="29"/>
      <c r="ID1885" s="29"/>
      <c r="IE1885" s="29"/>
      <c r="IF1885" s="29"/>
      <c r="IG1885" s="29"/>
      <c r="IH1885" s="29"/>
      <c r="II1885" s="29"/>
      <c r="IJ1885" s="29"/>
      <c r="IK1885" s="29"/>
      <c r="IL1885" s="29"/>
      <c r="IM1885" s="29"/>
      <c r="IN1885" s="29"/>
      <c r="IO1885" s="29"/>
      <c r="IP1885" s="29"/>
      <c r="IQ1885" s="29"/>
      <c r="IR1885" s="29"/>
      <c r="IS1885" s="29"/>
      <c r="IT1885" s="29"/>
      <c r="IU1885" s="29"/>
      <c r="IV1885" s="29"/>
      <c r="IW1885" s="29"/>
      <c r="IX1885" s="29"/>
      <c r="IY1885" s="29"/>
      <c r="IZ1885" s="29"/>
      <c r="JA1885" s="29"/>
      <c r="JB1885" s="29"/>
      <c r="JC1885" s="29"/>
      <c r="JD1885" s="29"/>
      <c r="JE1885" s="29"/>
      <c r="JF1885" s="29"/>
      <c r="JG1885" s="29"/>
      <c r="JH1885" s="29"/>
      <c r="JI1885" s="29"/>
      <c r="JJ1885" s="29"/>
      <c r="JK1885" s="29"/>
      <c r="JL1885" s="29"/>
      <c r="JM1885" s="29"/>
      <c r="JN1885" s="29"/>
      <c r="JO1885" s="29"/>
      <c r="JP1885" s="29"/>
      <c r="JQ1885" s="29"/>
      <c r="JR1885" s="29"/>
      <c r="JS1885" s="29"/>
      <c r="JT1885" s="29"/>
      <c r="JU1885" s="29"/>
      <c r="JV1885" s="29"/>
      <c r="JW1885" s="29"/>
      <c r="JX1885" s="29"/>
      <c r="JY1885" s="29"/>
      <c r="JZ1885" s="29"/>
      <c r="KA1885" s="29"/>
      <c r="KB1885" s="29"/>
      <c r="KC1885" s="29"/>
      <c r="KD1885" s="29"/>
      <c r="KE1885" s="29"/>
      <c r="KF1885" s="29"/>
      <c r="KG1885" s="29"/>
      <c r="KH1885" s="29"/>
      <c r="KI1885" s="29"/>
      <c r="KJ1885" s="29"/>
      <c r="KK1885" s="29"/>
      <c r="KL1885" s="29"/>
      <c r="KM1885" s="29"/>
      <c r="KN1885" s="29"/>
      <c r="KO1885" s="29"/>
      <c r="KP1885" s="29"/>
      <c r="KQ1885" s="29"/>
      <c r="KR1885" s="29"/>
      <c r="KS1885" s="29"/>
      <c r="KT1885" s="29"/>
      <c r="KU1885" s="29"/>
      <c r="KV1885" s="29"/>
      <c r="KW1885" s="29"/>
      <c r="KX1885" s="29"/>
      <c r="KY1885" s="29"/>
      <c r="KZ1885" s="29"/>
      <c r="LA1885" s="29"/>
      <c r="LB1885" s="29"/>
      <c r="LC1885" s="29"/>
      <c r="LD1885" s="29"/>
      <c r="LE1885" s="29"/>
      <c r="LF1885" s="29"/>
      <c r="LG1885" s="29"/>
      <c r="LH1885" s="29"/>
      <c r="LI1885" s="29"/>
      <c r="LJ1885" s="29"/>
      <c r="LK1885" s="29"/>
      <c r="LL1885" s="29"/>
      <c r="LM1885" s="29"/>
      <c r="LN1885" s="29"/>
      <c r="LO1885" s="29"/>
      <c r="LP1885" s="29"/>
      <c r="LQ1885" s="29"/>
      <c r="LR1885" s="29"/>
      <c r="LS1885" s="29"/>
      <c r="LT1885" s="29"/>
      <c r="LU1885" s="29"/>
      <c r="LV1885" s="29"/>
      <c r="LW1885" s="29"/>
      <c r="LX1885" s="29"/>
      <c r="LY1885" s="29"/>
      <c r="LZ1885" s="29"/>
      <c r="MA1885" s="29"/>
      <c r="MB1885" s="29"/>
      <c r="MC1885" s="29"/>
      <c r="MD1885" s="29"/>
      <c r="ME1885" s="29"/>
      <c r="MF1885" s="29"/>
      <c r="MG1885" s="29"/>
      <c r="MH1885" s="29"/>
      <c r="MI1885" s="29"/>
      <c r="MJ1885" s="29"/>
      <c r="MK1885" s="29"/>
      <c r="ML1885" s="29"/>
      <c r="MM1885" s="29"/>
      <c r="MN1885" s="29"/>
      <c r="MO1885" s="29"/>
      <c r="MP1885" s="29"/>
      <c r="MQ1885" s="29"/>
      <c r="MR1885" s="29"/>
      <c r="MS1885" s="29"/>
      <c r="MT1885" s="29"/>
      <c r="MU1885" s="29"/>
      <c r="MV1885" s="29"/>
      <c r="MW1885" s="29"/>
      <c r="MX1885" s="29"/>
      <c r="MY1885" s="29"/>
      <c r="MZ1885" s="29"/>
      <c r="NA1885" s="29"/>
      <c r="NB1885" s="29"/>
      <c r="NC1885" s="29"/>
      <c r="ND1885" s="29"/>
      <c r="NE1885" s="29"/>
      <c r="NF1885" s="29"/>
      <c r="NG1885" s="29"/>
      <c r="NH1885" s="29"/>
      <c r="NI1885" s="29"/>
      <c r="NJ1885" s="29"/>
      <c r="NK1885" s="29"/>
      <c r="NL1885" s="29"/>
      <c r="NM1885" s="29"/>
      <c r="NN1885" s="29"/>
      <c r="NO1885" s="29"/>
      <c r="NP1885" s="29"/>
      <c r="NQ1885" s="29"/>
      <c r="NR1885" s="29"/>
      <c r="NS1885" s="29"/>
      <c r="NT1885" s="29"/>
      <c r="NU1885" s="29"/>
      <c r="NV1885" s="29"/>
      <c r="NW1885" s="29"/>
      <c r="NX1885" s="29"/>
      <c r="NY1885" s="29"/>
      <c r="NZ1885" s="29"/>
      <c r="OA1885" s="29"/>
      <c r="OB1885" s="29"/>
      <c r="OC1885" s="29"/>
      <c r="OD1885" s="29"/>
      <c r="OE1885" s="29"/>
      <c r="OF1885" s="29"/>
      <c r="OG1885" s="29"/>
      <c r="OH1885" s="29"/>
      <c r="OI1885" s="29"/>
      <c r="OJ1885" s="29"/>
      <c r="OK1885" s="29"/>
      <c r="OL1885" s="29"/>
      <c r="OM1885" s="29"/>
      <c r="ON1885" s="29"/>
      <c r="OO1885" s="29"/>
      <c r="OP1885" s="29"/>
      <c r="OQ1885" s="29"/>
      <c r="OR1885" s="29"/>
      <c r="OS1885" s="29"/>
      <c r="OT1885" s="29"/>
      <c r="OU1885" s="29"/>
      <c r="OV1885" s="29"/>
      <c r="OW1885" s="29"/>
      <c r="OX1885" s="29"/>
      <c r="OY1885" s="29"/>
      <c r="OZ1885" s="29"/>
      <c r="PA1885" s="29"/>
      <c r="PB1885" s="29"/>
      <c r="PC1885" s="29"/>
      <c r="PD1885" s="29"/>
      <c r="PE1885" s="29"/>
      <c r="PF1885" s="29"/>
      <c r="PG1885" s="29"/>
      <c r="PH1885" s="29"/>
      <c r="PI1885" s="29"/>
      <c r="PJ1885" s="29"/>
      <c r="PK1885" s="29"/>
      <c r="PL1885" s="29"/>
      <c r="PM1885" s="29"/>
      <c r="PN1885" s="29"/>
      <c r="PO1885" s="29"/>
      <c r="PP1885" s="29"/>
      <c r="PQ1885" s="29"/>
      <c r="PR1885" s="29"/>
      <c r="PS1885" s="29"/>
      <c r="PT1885" s="29"/>
      <c r="PU1885" s="29"/>
      <c r="PV1885" s="29"/>
      <c r="PW1885" s="29"/>
      <c r="PX1885" s="29"/>
      <c r="PY1885" s="29"/>
      <c r="PZ1885" s="29"/>
      <c r="QA1885" s="29"/>
      <c r="QB1885" s="29"/>
      <c r="QC1885" s="29"/>
      <c r="QD1885" s="29"/>
      <c r="QE1885" s="29"/>
      <c r="QF1885" s="29"/>
      <c r="QG1885" s="29"/>
      <c r="QH1885" s="29"/>
      <c r="QI1885" s="29"/>
      <c r="QJ1885" s="29"/>
      <c r="QK1885" s="29"/>
      <c r="QL1885" s="29"/>
      <c r="QM1885" s="29"/>
      <c r="QN1885" s="29"/>
      <c r="QO1885" s="29"/>
      <c r="QP1885" s="29"/>
      <c r="QQ1885" s="29"/>
      <c r="QR1885" s="29"/>
      <c r="QS1885" s="29"/>
      <c r="QT1885" s="29"/>
      <c r="QU1885" s="29"/>
      <c r="QV1885" s="29"/>
      <c r="QW1885" s="29"/>
      <c r="QX1885" s="29"/>
      <c r="QY1885" s="29"/>
      <c r="QZ1885" s="29"/>
      <c r="RA1885" s="29"/>
      <c r="RB1885" s="29"/>
      <c r="RC1885" s="29"/>
      <c r="RD1885" s="29"/>
      <c r="RE1885" s="29"/>
      <c r="RF1885" s="29"/>
      <c r="RG1885" s="29"/>
      <c r="RH1885" s="29"/>
      <c r="RI1885" s="29"/>
      <c r="RJ1885" s="29"/>
      <c r="RK1885" s="29"/>
      <c r="RL1885" s="29"/>
      <c r="RM1885" s="29"/>
      <c r="RN1885" s="29"/>
      <c r="RO1885" s="29"/>
      <c r="RP1885" s="29"/>
      <c r="RQ1885" s="29"/>
      <c r="RR1885" s="29"/>
      <c r="RS1885" s="29"/>
      <c r="RT1885" s="29"/>
      <c r="RU1885" s="29"/>
      <c r="RV1885" s="29"/>
      <c r="RW1885" s="29"/>
      <c r="RX1885" s="29"/>
      <c r="RY1885" s="29"/>
      <c r="RZ1885" s="29"/>
      <c r="SA1885" s="29"/>
      <c r="SB1885" s="29"/>
      <c r="SC1885" s="29"/>
      <c r="SD1885" s="29"/>
      <c r="SE1885" s="29"/>
      <c r="SF1885" s="29"/>
      <c r="SG1885" s="29"/>
      <c r="SH1885" s="29"/>
      <c r="SI1885" s="29"/>
      <c r="SJ1885" s="29"/>
      <c r="SK1885" s="29"/>
      <c r="SL1885" s="29"/>
      <c r="SM1885" s="29"/>
      <c r="SN1885" s="29"/>
      <c r="SO1885" s="29"/>
      <c r="SP1885" s="29"/>
      <c r="SQ1885" s="29"/>
      <c r="SR1885" s="29"/>
      <c r="SS1885" s="29"/>
      <c r="ST1885" s="29"/>
      <c r="SU1885" s="29"/>
      <c r="SV1885" s="29"/>
      <c r="SW1885" s="29"/>
      <c r="SX1885" s="29"/>
      <c r="SY1885" s="29"/>
      <c r="SZ1885" s="29"/>
      <c r="TA1885" s="29"/>
      <c r="TB1885" s="29"/>
      <c r="TC1885" s="29"/>
      <c r="TD1885" s="29"/>
      <c r="TE1885" s="29"/>
      <c r="TF1885" s="29"/>
      <c r="TG1885" s="29"/>
      <c r="TH1885" s="29"/>
      <c r="TI1885" s="29"/>
      <c r="TJ1885" s="29"/>
      <c r="TK1885" s="29"/>
      <c r="TL1885" s="29"/>
      <c r="TM1885" s="29"/>
      <c r="TN1885" s="29"/>
      <c r="TO1885" s="29"/>
      <c r="TP1885" s="29"/>
      <c r="TQ1885" s="29"/>
      <c r="TR1885" s="29"/>
      <c r="TS1885" s="29"/>
      <c r="TT1885" s="29"/>
      <c r="TU1885" s="29"/>
      <c r="TV1885" s="29"/>
      <c r="TW1885" s="29"/>
      <c r="TX1885" s="29"/>
      <c r="TY1885" s="29"/>
      <c r="TZ1885" s="29"/>
      <c r="UA1885" s="29"/>
      <c r="UB1885" s="29"/>
      <c r="UC1885" s="29"/>
      <c r="UD1885" s="29"/>
      <c r="UE1885" s="29"/>
      <c r="UF1885" s="29"/>
      <c r="UG1885" s="29"/>
      <c r="UH1885" s="29"/>
      <c r="UI1885" s="29"/>
      <c r="UJ1885" s="29"/>
      <c r="UK1885" s="29"/>
      <c r="UL1885" s="29"/>
      <c r="UM1885" s="29"/>
      <c r="UN1885" s="29"/>
      <c r="UO1885" s="29"/>
      <c r="UP1885" s="29"/>
      <c r="UQ1885" s="29"/>
      <c r="UR1885" s="29"/>
      <c r="US1885" s="29"/>
      <c r="UT1885" s="29"/>
      <c r="UU1885" s="29"/>
      <c r="UV1885" s="29"/>
      <c r="UW1885" s="29"/>
      <c r="UX1885" s="29"/>
      <c r="UY1885" s="29"/>
      <c r="UZ1885" s="29"/>
      <c r="VA1885" s="29"/>
      <c r="VB1885" s="29"/>
      <c r="VC1885" s="29"/>
      <c r="VD1885" s="29"/>
      <c r="VE1885" s="29"/>
      <c r="VF1885" s="29"/>
      <c r="VG1885" s="29"/>
      <c r="VH1885" s="29"/>
      <c r="VI1885" s="29"/>
      <c r="VJ1885" s="29"/>
      <c r="VK1885" s="29"/>
      <c r="VL1885" s="29"/>
      <c r="VM1885" s="29"/>
      <c r="VN1885" s="29"/>
      <c r="VO1885" s="29"/>
      <c r="VP1885" s="29"/>
      <c r="VQ1885" s="29"/>
      <c r="VR1885" s="29"/>
      <c r="VS1885" s="29"/>
      <c r="VT1885" s="29"/>
      <c r="VU1885" s="29"/>
      <c r="VV1885" s="29"/>
      <c r="VW1885" s="29"/>
      <c r="VX1885" s="29"/>
      <c r="VY1885" s="29"/>
      <c r="VZ1885" s="29"/>
      <c r="WA1885" s="29"/>
      <c r="WB1885" s="29"/>
    </row>
    <row r="1950" spans="1:600" x14ac:dyDescent="0.3">
      <c r="A1950" s="29"/>
      <c r="B1950" s="29"/>
      <c r="C1950" s="29"/>
      <c r="D1950" s="29"/>
      <c r="E1950" s="29"/>
      <c r="F1950" s="29"/>
      <c r="G1950" s="29"/>
      <c r="H1950" s="29"/>
      <c r="I1950" s="29"/>
      <c r="J1950" s="29"/>
      <c r="K1950" s="29"/>
      <c r="L1950" s="29"/>
      <c r="M1950" s="29"/>
      <c r="N1950" s="29"/>
      <c r="O1950" s="29"/>
      <c r="P1950" s="29"/>
      <c r="Q1950" s="29"/>
      <c r="R1950" s="29"/>
      <c r="S1950" s="29"/>
      <c r="T1950" s="29"/>
      <c r="U1950" s="29"/>
      <c r="V1950" s="29"/>
      <c r="W1950" s="29"/>
      <c r="X1950" s="29"/>
      <c r="Y1950" s="29"/>
      <c r="Z1950" s="29"/>
      <c r="AA1950" s="29"/>
      <c r="AB1950" s="29"/>
      <c r="AC1950" s="29"/>
      <c r="AD1950" s="29"/>
      <c r="AE1950" s="29"/>
      <c r="AF1950" s="29"/>
      <c r="AG1950" s="29"/>
      <c r="AH1950" s="29"/>
      <c r="AI1950" s="29"/>
      <c r="AJ1950" s="29"/>
      <c r="AK1950" s="29"/>
      <c r="AL1950" s="29"/>
      <c r="AM1950" s="29"/>
      <c r="AN1950" s="29"/>
      <c r="AO1950" s="29"/>
      <c r="AP1950" s="29"/>
      <c r="AQ1950" s="29"/>
      <c r="AR1950" s="29"/>
      <c r="AS1950" s="29"/>
      <c r="AT1950" s="29"/>
      <c r="AU1950" s="29"/>
      <c r="AV1950" s="29"/>
      <c r="AW1950" s="29"/>
      <c r="AX1950" s="29"/>
      <c r="AY1950" s="29"/>
      <c r="AZ1950" s="29"/>
      <c r="BA1950" s="29"/>
      <c r="BB1950" s="29"/>
      <c r="BC1950" s="29"/>
      <c r="BD1950" s="29"/>
      <c r="BE1950" s="29"/>
      <c r="BF1950" s="29"/>
      <c r="BG1950" s="29"/>
      <c r="BH1950" s="29"/>
      <c r="BI1950" s="29"/>
      <c r="BJ1950" s="29"/>
      <c r="BK1950" s="29"/>
      <c r="BL1950" s="29"/>
      <c r="BM1950" s="29"/>
      <c r="BN1950" s="29"/>
      <c r="BO1950" s="29"/>
      <c r="BP1950" s="29"/>
      <c r="BQ1950" s="29"/>
      <c r="BR1950" s="29"/>
      <c r="BS1950" s="29"/>
      <c r="BT1950" s="29"/>
      <c r="BU1950" s="29"/>
      <c r="BV1950" s="29"/>
      <c r="BW1950" s="29"/>
      <c r="BX1950" s="29"/>
      <c r="BY1950" s="29"/>
      <c r="BZ1950" s="29"/>
      <c r="CA1950" s="29"/>
      <c r="CB1950" s="29"/>
      <c r="CC1950" s="29"/>
      <c r="CD1950" s="29"/>
      <c r="CE1950" s="29"/>
      <c r="CF1950" s="29"/>
      <c r="CG1950" s="29"/>
      <c r="CH1950" s="29"/>
      <c r="CI1950" s="29"/>
      <c r="CJ1950" s="29"/>
      <c r="CK1950" s="29"/>
      <c r="CL1950" s="29"/>
      <c r="CM1950" s="29"/>
      <c r="CN1950" s="29"/>
      <c r="CO1950" s="29"/>
      <c r="CP1950" s="29"/>
      <c r="CQ1950" s="29"/>
      <c r="CR1950" s="29"/>
      <c r="CS1950" s="29"/>
      <c r="CT1950" s="29"/>
      <c r="CU1950" s="29"/>
      <c r="CV1950" s="29"/>
      <c r="CW1950" s="29"/>
      <c r="CX1950" s="29"/>
      <c r="CY1950" s="29"/>
      <c r="CZ1950" s="29"/>
      <c r="DA1950" s="29"/>
      <c r="DB1950" s="29"/>
      <c r="DC1950" s="29"/>
      <c r="DD1950" s="29"/>
      <c r="DE1950" s="29"/>
      <c r="DF1950" s="29"/>
      <c r="DG1950" s="29"/>
      <c r="DH1950" s="29"/>
      <c r="DI1950" s="29"/>
      <c r="DJ1950" s="29"/>
      <c r="DK1950" s="29"/>
      <c r="DL1950" s="29"/>
      <c r="DM1950" s="29"/>
      <c r="DN1950" s="29"/>
      <c r="DO1950" s="29"/>
      <c r="DP1950" s="29"/>
      <c r="DQ1950" s="29"/>
      <c r="DR1950" s="29"/>
      <c r="DS1950" s="29"/>
      <c r="DT1950" s="29"/>
      <c r="DU1950" s="29"/>
      <c r="DV1950" s="29"/>
      <c r="DW1950" s="29"/>
      <c r="DX1950" s="29"/>
      <c r="DY1950" s="29"/>
      <c r="DZ1950" s="29"/>
      <c r="EA1950" s="29"/>
      <c r="EB1950" s="29"/>
      <c r="EC1950" s="29"/>
      <c r="ED1950" s="29"/>
      <c r="EE1950" s="29"/>
      <c r="EF1950" s="29"/>
      <c r="EG1950" s="29"/>
      <c r="EH1950" s="29"/>
      <c r="EI1950" s="29"/>
      <c r="EJ1950" s="29"/>
      <c r="EK1950" s="29"/>
      <c r="EL1950" s="29"/>
      <c r="EM1950" s="29"/>
      <c r="EN1950" s="29"/>
      <c r="EO1950" s="29"/>
      <c r="EP1950" s="29"/>
      <c r="EQ1950" s="29"/>
      <c r="ER1950" s="29"/>
      <c r="ES1950" s="29"/>
      <c r="ET1950" s="29"/>
      <c r="EU1950" s="29"/>
      <c r="EV1950" s="29"/>
      <c r="EW1950" s="29"/>
      <c r="EX1950" s="29"/>
      <c r="EY1950" s="29"/>
      <c r="EZ1950" s="29"/>
      <c r="FA1950" s="29"/>
      <c r="FB1950" s="29"/>
      <c r="FC1950" s="29"/>
      <c r="FD1950" s="29"/>
      <c r="FE1950" s="29"/>
      <c r="FF1950" s="29"/>
      <c r="FG1950" s="29"/>
      <c r="FH1950" s="29"/>
      <c r="FI1950" s="29"/>
      <c r="FJ1950" s="29"/>
      <c r="FK1950" s="29"/>
      <c r="FL1950" s="29"/>
      <c r="FM1950" s="29"/>
      <c r="FN1950" s="29"/>
      <c r="FO1950" s="29"/>
      <c r="FP1950" s="29"/>
      <c r="FQ1950" s="29"/>
      <c r="FR1950" s="29"/>
      <c r="FS1950" s="29"/>
      <c r="FT1950" s="29"/>
      <c r="FU1950" s="29"/>
      <c r="FV1950" s="29"/>
      <c r="FW1950" s="29"/>
      <c r="FX1950" s="29"/>
      <c r="FY1950" s="29"/>
      <c r="FZ1950" s="29"/>
      <c r="GA1950" s="29"/>
      <c r="GB1950" s="29"/>
      <c r="GC1950" s="29"/>
      <c r="GD1950" s="29"/>
      <c r="GE1950" s="29"/>
      <c r="GF1950" s="29"/>
      <c r="GG1950" s="29"/>
      <c r="GH1950" s="29"/>
      <c r="GI1950" s="29"/>
      <c r="GJ1950" s="29"/>
      <c r="GK1950" s="29"/>
      <c r="GL1950" s="29"/>
      <c r="GM1950" s="29"/>
      <c r="GN1950" s="29"/>
      <c r="GO1950" s="29"/>
      <c r="GP1950" s="29"/>
      <c r="GQ1950" s="29"/>
      <c r="GR1950" s="29"/>
      <c r="GS1950" s="29"/>
      <c r="GT1950" s="29"/>
      <c r="GU1950" s="29"/>
      <c r="GV1950" s="29"/>
      <c r="GW1950" s="29"/>
      <c r="GX1950" s="29"/>
      <c r="GY1950" s="29"/>
      <c r="GZ1950" s="29"/>
      <c r="HA1950" s="29"/>
      <c r="HB1950" s="29"/>
      <c r="HC1950" s="29"/>
      <c r="HD1950" s="29"/>
      <c r="HE1950" s="29"/>
      <c r="HF1950" s="29"/>
      <c r="HG1950" s="29"/>
      <c r="HH1950" s="29"/>
      <c r="HI1950" s="29"/>
      <c r="HJ1950" s="29"/>
      <c r="HK1950" s="29"/>
      <c r="HL1950" s="29"/>
      <c r="HM1950" s="29"/>
      <c r="HN1950" s="29"/>
      <c r="HO1950" s="29"/>
      <c r="HP1950" s="29"/>
      <c r="HQ1950" s="29"/>
      <c r="HR1950" s="29"/>
      <c r="HS1950" s="29"/>
      <c r="HT1950" s="29"/>
      <c r="HU1950" s="29"/>
      <c r="HV1950" s="29"/>
      <c r="HW1950" s="29"/>
      <c r="HX1950" s="29"/>
      <c r="HY1950" s="29"/>
      <c r="HZ1950" s="29"/>
      <c r="IA1950" s="29"/>
      <c r="IB1950" s="29"/>
      <c r="IC1950" s="29"/>
      <c r="ID1950" s="29"/>
      <c r="IE1950" s="29"/>
      <c r="IF1950" s="29"/>
      <c r="IG1950" s="29"/>
      <c r="IH1950" s="29"/>
      <c r="II1950" s="29"/>
      <c r="IJ1950" s="29"/>
      <c r="IK1950" s="29"/>
      <c r="IL1950" s="29"/>
      <c r="IM1950" s="29"/>
      <c r="IN1950" s="29"/>
      <c r="IO1950" s="29"/>
      <c r="IP1950" s="29"/>
      <c r="IQ1950" s="29"/>
      <c r="IR1950" s="29"/>
      <c r="IS1950" s="29"/>
      <c r="IT1950" s="29"/>
      <c r="IU1950" s="29"/>
      <c r="IV1950" s="29"/>
      <c r="IW1950" s="29"/>
      <c r="IX1950" s="29"/>
      <c r="IY1950" s="29"/>
      <c r="IZ1950" s="29"/>
      <c r="JA1950" s="29"/>
      <c r="JB1950" s="29"/>
      <c r="JC1950" s="29"/>
      <c r="JD1950" s="29"/>
      <c r="JE1950" s="29"/>
      <c r="JF1950" s="29"/>
      <c r="JG1950" s="29"/>
      <c r="JH1950" s="29"/>
      <c r="JI1950" s="29"/>
      <c r="JJ1950" s="29"/>
      <c r="JK1950" s="29"/>
      <c r="JL1950" s="29"/>
      <c r="JM1950" s="29"/>
      <c r="JN1950" s="29"/>
      <c r="JO1950" s="29"/>
      <c r="JP1950" s="29"/>
      <c r="JQ1950" s="29"/>
      <c r="JR1950" s="29"/>
      <c r="JS1950" s="29"/>
      <c r="JT1950" s="29"/>
      <c r="JU1950" s="29"/>
      <c r="JV1950" s="29"/>
      <c r="JW1950" s="29"/>
      <c r="JX1950" s="29"/>
      <c r="JY1950" s="29"/>
      <c r="JZ1950" s="29"/>
      <c r="KA1950" s="29"/>
      <c r="KB1950" s="29"/>
      <c r="KC1950" s="29"/>
      <c r="KD1950" s="29"/>
      <c r="KE1950" s="29"/>
      <c r="KF1950" s="29"/>
      <c r="KG1950" s="29"/>
      <c r="KH1950" s="29"/>
      <c r="KI1950" s="29"/>
      <c r="KJ1950" s="29"/>
      <c r="KK1950" s="29"/>
      <c r="KL1950" s="29"/>
      <c r="KM1950" s="29"/>
      <c r="KN1950" s="29"/>
      <c r="KO1950" s="29"/>
      <c r="KP1950" s="29"/>
      <c r="KQ1950" s="29"/>
      <c r="KR1950" s="29"/>
      <c r="KS1950" s="29"/>
      <c r="KT1950" s="29"/>
      <c r="KU1950" s="29"/>
      <c r="KV1950" s="29"/>
      <c r="KW1950" s="29"/>
      <c r="KX1950" s="29"/>
      <c r="KY1950" s="29"/>
      <c r="KZ1950" s="29"/>
      <c r="LA1950" s="29"/>
      <c r="LB1950" s="29"/>
      <c r="LC1950" s="29"/>
      <c r="LD1950" s="29"/>
      <c r="LE1950" s="29"/>
      <c r="LF1950" s="29"/>
      <c r="LG1950" s="29"/>
      <c r="LH1950" s="29"/>
      <c r="LI1950" s="29"/>
      <c r="LJ1950" s="29"/>
      <c r="LK1950" s="29"/>
      <c r="LL1950" s="29"/>
      <c r="LM1950" s="29"/>
      <c r="LN1950" s="29"/>
      <c r="LO1950" s="29"/>
      <c r="LP1950" s="29"/>
      <c r="LQ1950" s="29"/>
      <c r="LR1950" s="29"/>
      <c r="LS1950" s="29"/>
      <c r="LT1950" s="29"/>
      <c r="LU1950" s="29"/>
      <c r="LV1950" s="29"/>
      <c r="LW1950" s="29"/>
      <c r="LX1950" s="29"/>
      <c r="LY1950" s="29"/>
      <c r="LZ1950" s="29"/>
      <c r="MA1950" s="29"/>
      <c r="MB1950" s="29"/>
      <c r="MC1950" s="29"/>
      <c r="MD1950" s="29"/>
      <c r="ME1950" s="29"/>
      <c r="MF1950" s="29"/>
      <c r="MG1950" s="29"/>
      <c r="MH1950" s="29"/>
      <c r="MI1950" s="29"/>
      <c r="MJ1950" s="29"/>
      <c r="MK1950" s="29"/>
      <c r="ML1950" s="29"/>
      <c r="MM1950" s="29"/>
      <c r="MN1950" s="29"/>
      <c r="MO1950" s="29"/>
      <c r="MP1950" s="29"/>
      <c r="MQ1950" s="29"/>
      <c r="MR1950" s="29"/>
      <c r="MS1950" s="29"/>
      <c r="MT1950" s="29"/>
      <c r="MU1950" s="29"/>
      <c r="MV1950" s="29"/>
      <c r="MW1950" s="29"/>
      <c r="MX1950" s="29"/>
      <c r="MY1950" s="29"/>
      <c r="MZ1950" s="29"/>
      <c r="NA1950" s="29"/>
      <c r="NB1950" s="29"/>
      <c r="NC1950" s="29"/>
      <c r="ND1950" s="29"/>
      <c r="NE1950" s="29"/>
      <c r="NF1950" s="29"/>
      <c r="NG1950" s="29"/>
      <c r="NH1950" s="29"/>
      <c r="NI1950" s="29"/>
      <c r="NJ1950" s="29"/>
      <c r="NK1950" s="29"/>
      <c r="NL1950" s="29"/>
      <c r="NM1950" s="29"/>
      <c r="NN1950" s="29"/>
      <c r="NO1950" s="29"/>
      <c r="NP1950" s="29"/>
      <c r="NQ1950" s="29"/>
      <c r="NR1950" s="29"/>
      <c r="NS1950" s="29"/>
      <c r="NT1950" s="29"/>
      <c r="NU1950" s="29"/>
      <c r="NV1950" s="29"/>
      <c r="NW1950" s="29"/>
      <c r="NX1950" s="29"/>
      <c r="NY1950" s="29"/>
      <c r="NZ1950" s="29"/>
      <c r="OA1950" s="29"/>
      <c r="OB1950" s="29"/>
      <c r="OC1950" s="29"/>
      <c r="OD1950" s="29"/>
      <c r="OE1950" s="29"/>
      <c r="OF1950" s="29"/>
      <c r="OG1950" s="29"/>
      <c r="OH1950" s="29"/>
      <c r="OI1950" s="29"/>
      <c r="OJ1950" s="29"/>
      <c r="OK1950" s="29"/>
      <c r="OL1950" s="29"/>
      <c r="OM1950" s="29"/>
      <c r="ON1950" s="29"/>
      <c r="OO1950" s="29"/>
      <c r="OP1950" s="29"/>
      <c r="OQ1950" s="29"/>
      <c r="OR1950" s="29"/>
      <c r="OS1950" s="29"/>
      <c r="OT1950" s="29"/>
      <c r="OU1950" s="29"/>
      <c r="OV1950" s="29"/>
      <c r="OW1950" s="29"/>
      <c r="OX1950" s="29"/>
      <c r="OY1950" s="29"/>
      <c r="OZ1950" s="29"/>
      <c r="PA1950" s="29"/>
      <c r="PB1950" s="29"/>
      <c r="PC1950" s="29"/>
      <c r="PD1950" s="29"/>
      <c r="PE1950" s="29"/>
      <c r="PF1950" s="29"/>
      <c r="PG1950" s="29"/>
      <c r="PH1950" s="29"/>
      <c r="PI1950" s="29"/>
      <c r="PJ1950" s="29"/>
      <c r="PK1950" s="29"/>
      <c r="PL1950" s="29"/>
      <c r="PM1950" s="29"/>
      <c r="PN1950" s="29"/>
      <c r="PO1950" s="29"/>
      <c r="PP1950" s="29"/>
      <c r="PQ1950" s="29"/>
      <c r="PR1950" s="29"/>
      <c r="PS1950" s="29"/>
      <c r="PT1950" s="29"/>
      <c r="PU1950" s="29"/>
      <c r="PV1950" s="29"/>
      <c r="PW1950" s="29"/>
      <c r="PX1950" s="29"/>
      <c r="PY1950" s="29"/>
      <c r="PZ1950" s="29"/>
      <c r="QA1950" s="29"/>
      <c r="QB1950" s="29"/>
      <c r="QC1950" s="29"/>
      <c r="QD1950" s="29"/>
      <c r="QE1950" s="29"/>
      <c r="QF1950" s="29"/>
      <c r="QG1950" s="29"/>
      <c r="QH1950" s="29"/>
      <c r="QI1950" s="29"/>
      <c r="QJ1950" s="29"/>
      <c r="QK1950" s="29"/>
      <c r="QL1950" s="29"/>
      <c r="QM1950" s="29"/>
      <c r="QN1950" s="29"/>
      <c r="QO1950" s="29"/>
      <c r="QP1950" s="29"/>
      <c r="QQ1950" s="29"/>
      <c r="QR1950" s="29"/>
      <c r="QS1950" s="29"/>
      <c r="QT1950" s="29"/>
      <c r="QU1950" s="29"/>
      <c r="QV1950" s="29"/>
      <c r="QW1950" s="29"/>
      <c r="QX1950" s="29"/>
      <c r="QY1950" s="29"/>
      <c r="QZ1950" s="29"/>
      <c r="RA1950" s="29"/>
      <c r="RB1950" s="29"/>
      <c r="RC1950" s="29"/>
      <c r="RD1950" s="29"/>
      <c r="RE1950" s="29"/>
      <c r="RF1950" s="29"/>
      <c r="RG1950" s="29"/>
      <c r="RH1950" s="29"/>
      <c r="RI1950" s="29"/>
      <c r="RJ1950" s="29"/>
      <c r="RK1950" s="29"/>
      <c r="RL1950" s="29"/>
      <c r="RM1950" s="29"/>
      <c r="RN1950" s="29"/>
      <c r="RO1950" s="29"/>
      <c r="RP1950" s="29"/>
      <c r="RQ1950" s="29"/>
      <c r="RR1950" s="29"/>
      <c r="RS1950" s="29"/>
      <c r="RT1950" s="29"/>
      <c r="RU1950" s="29"/>
      <c r="RV1950" s="29"/>
      <c r="RW1950" s="29"/>
      <c r="RX1950" s="29"/>
      <c r="RY1950" s="29"/>
      <c r="RZ1950" s="29"/>
      <c r="SA1950" s="29"/>
      <c r="SB1950" s="29"/>
      <c r="SC1950" s="29"/>
      <c r="SD1950" s="29"/>
      <c r="SE1950" s="29"/>
      <c r="SF1950" s="29"/>
      <c r="SG1950" s="29"/>
      <c r="SH1950" s="29"/>
      <c r="SI1950" s="29"/>
      <c r="SJ1950" s="29"/>
      <c r="SK1950" s="29"/>
      <c r="SL1950" s="29"/>
      <c r="SM1950" s="29"/>
      <c r="SN1950" s="29"/>
      <c r="SO1950" s="29"/>
      <c r="SP1950" s="29"/>
      <c r="SQ1950" s="29"/>
      <c r="SR1950" s="29"/>
      <c r="SS1950" s="29"/>
      <c r="ST1950" s="29"/>
      <c r="SU1950" s="29"/>
      <c r="SV1950" s="29"/>
      <c r="SW1950" s="29"/>
      <c r="SX1950" s="29"/>
      <c r="SY1950" s="29"/>
      <c r="SZ1950" s="29"/>
      <c r="TA1950" s="29"/>
      <c r="TB1950" s="29"/>
      <c r="TC1950" s="29"/>
      <c r="TD1950" s="29"/>
      <c r="TE1950" s="29"/>
      <c r="TF1950" s="29"/>
      <c r="TG1950" s="29"/>
      <c r="TH1950" s="29"/>
      <c r="TI1950" s="29"/>
      <c r="TJ1950" s="29"/>
      <c r="TK1950" s="29"/>
      <c r="TL1950" s="29"/>
      <c r="TM1950" s="29"/>
      <c r="TN1950" s="29"/>
      <c r="TO1950" s="29"/>
      <c r="TP1950" s="29"/>
      <c r="TQ1950" s="29"/>
      <c r="TR1950" s="29"/>
      <c r="TS1950" s="29"/>
      <c r="TT1950" s="29"/>
      <c r="TU1950" s="29"/>
      <c r="TV1950" s="29"/>
      <c r="TW1950" s="29"/>
      <c r="TX1950" s="29"/>
      <c r="TY1950" s="29"/>
      <c r="TZ1950" s="29"/>
      <c r="UA1950" s="29"/>
      <c r="UB1950" s="29"/>
      <c r="UC1950" s="29"/>
      <c r="UD1950" s="29"/>
      <c r="UE1950" s="29"/>
      <c r="UF1950" s="29"/>
      <c r="UG1950" s="29"/>
      <c r="UH1950" s="29"/>
      <c r="UI1950" s="29"/>
      <c r="UJ1950" s="29"/>
      <c r="UK1950" s="29"/>
      <c r="UL1950" s="29"/>
      <c r="UM1950" s="29"/>
      <c r="UN1950" s="29"/>
      <c r="UO1950" s="29"/>
      <c r="UP1950" s="29"/>
      <c r="UQ1950" s="29"/>
      <c r="UR1950" s="29"/>
      <c r="US1950" s="29"/>
      <c r="UT1950" s="29"/>
      <c r="UU1950" s="29"/>
      <c r="UV1950" s="29"/>
      <c r="UW1950" s="29"/>
      <c r="UX1950" s="29"/>
      <c r="UY1950" s="29"/>
      <c r="UZ1950" s="29"/>
      <c r="VA1950" s="29"/>
      <c r="VB1950" s="29"/>
      <c r="VC1950" s="29"/>
      <c r="VD1950" s="29"/>
      <c r="VE1950" s="29"/>
      <c r="VF1950" s="29"/>
      <c r="VG1950" s="29"/>
      <c r="VH1950" s="29"/>
      <c r="VI1950" s="29"/>
      <c r="VJ1950" s="29"/>
      <c r="VK1950" s="29"/>
      <c r="VL1950" s="29"/>
      <c r="VM1950" s="29"/>
      <c r="VN1950" s="29"/>
      <c r="VO1950" s="29"/>
      <c r="VP1950" s="29"/>
      <c r="VQ1950" s="29"/>
      <c r="VR1950" s="29"/>
      <c r="VS1950" s="29"/>
      <c r="VT1950" s="29"/>
      <c r="VU1950" s="29"/>
      <c r="VV1950" s="29"/>
      <c r="VW1950" s="29"/>
      <c r="VX1950" s="29"/>
      <c r="VY1950" s="29"/>
      <c r="VZ1950" s="29"/>
      <c r="WA1950" s="29"/>
      <c r="WB1950" s="29"/>
    </row>
    <row r="2900" spans="10:29" x14ac:dyDescent="0.3"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</row>
    <row r="2901" spans="10:29" x14ac:dyDescent="0.3"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</row>
    <row r="2902" spans="10:29" x14ac:dyDescent="0.3"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</row>
    <row r="2903" spans="10:29" x14ac:dyDescent="0.3"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</row>
    <row r="2904" spans="10:29" x14ac:dyDescent="0.3"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</row>
    <row r="2905" spans="10:29" x14ac:dyDescent="0.3"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</row>
    <row r="2906" spans="10:29" x14ac:dyDescent="0.3"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</row>
    <row r="2907" spans="10:29" x14ac:dyDescent="0.3">
      <c r="J2907" s="3"/>
      <c r="K2907" s="3"/>
      <c r="L2907" s="3"/>
      <c r="M2907" s="3"/>
      <c r="N2907" s="3"/>
      <c r="O2907" s="3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</row>
    <row r="2908" spans="10:29" x14ac:dyDescent="0.3">
      <c r="J2908" s="3"/>
      <c r="K2908" s="3"/>
      <c r="L2908" s="3"/>
      <c r="M2908" s="3"/>
      <c r="N2908" s="3"/>
      <c r="O2908" s="31"/>
      <c r="P2908" s="32"/>
      <c r="Q2908" s="3"/>
      <c r="R2908" s="3"/>
      <c r="S2908" s="3"/>
      <c r="T2908" s="31"/>
      <c r="U2908" s="3"/>
      <c r="V2908" s="3"/>
      <c r="W2908" s="3"/>
      <c r="X2908" s="3"/>
      <c r="Y2908" s="3"/>
      <c r="Z2908" s="3"/>
      <c r="AA2908" s="3"/>
      <c r="AB2908" s="3"/>
      <c r="AC2908" s="3"/>
    </row>
    <row r="2909" spans="10:29" x14ac:dyDescent="0.3">
      <c r="J2909" s="3"/>
      <c r="K2909" s="3"/>
      <c r="L2909" s="3"/>
      <c r="M2909" s="3"/>
      <c r="N2909" s="3"/>
      <c r="O2909" s="31"/>
      <c r="P2909" s="32"/>
      <c r="Q2909" s="3"/>
      <c r="R2909" s="3"/>
      <c r="S2909" s="3"/>
      <c r="T2909" s="31"/>
      <c r="U2909" s="32"/>
      <c r="V2909" s="3"/>
      <c r="W2909" s="3"/>
      <c r="X2909" s="3"/>
      <c r="Y2909" s="3"/>
      <c r="Z2909" s="3"/>
      <c r="AA2909" s="3"/>
      <c r="AB2909" s="3"/>
      <c r="AC2909" s="3"/>
    </row>
    <row r="2910" spans="10:29" x14ac:dyDescent="0.3">
      <c r="J2910" s="3"/>
      <c r="K2910" s="3"/>
      <c r="L2910" s="3"/>
      <c r="M2910" s="3"/>
      <c r="N2910" s="3"/>
      <c r="O2910" s="31"/>
      <c r="P2910" s="32"/>
      <c r="Q2910" s="3"/>
      <c r="R2910" s="3"/>
      <c r="S2910" s="3"/>
      <c r="T2910" s="31"/>
      <c r="U2910" s="32"/>
      <c r="V2910" s="3"/>
      <c r="W2910" s="3"/>
      <c r="X2910" s="3"/>
      <c r="Y2910" s="3"/>
      <c r="Z2910" s="3"/>
      <c r="AA2910" s="3"/>
      <c r="AB2910" s="3"/>
      <c r="AC2910" s="3"/>
    </row>
    <row r="2911" spans="10:29" x14ac:dyDescent="0.3">
      <c r="J2911" s="3"/>
      <c r="K2911" s="3"/>
      <c r="L2911" s="3"/>
      <c r="M2911" s="3"/>
      <c r="N2911" s="3"/>
      <c r="O2911" s="31"/>
      <c r="P2911" s="32"/>
      <c r="Q2911" s="3"/>
      <c r="R2911" s="3"/>
      <c r="S2911" s="3"/>
      <c r="T2911" s="31"/>
      <c r="U2911" s="32"/>
      <c r="V2911" s="3"/>
      <c r="W2911" s="3"/>
      <c r="X2911" s="3"/>
      <c r="Y2911" s="3"/>
      <c r="Z2911" s="3"/>
      <c r="AA2911" s="3"/>
      <c r="AB2911" s="3"/>
      <c r="AC2911" s="3"/>
    </row>
    <row r="2912" spans="10:29" x14ac:dyDescent="0.3">
      <c r="J2912" s="3"/>
      <c r="K2912" s="31"/>
      <c r="L2912" s="3"/>
      <c r="M2912" s="3"/>
      <c r="N2912" s="3"/>
      <c r="O2912" s="31"/>
      <c r="P2912" s="32"/>
      <c r="Q2912" s="3"/>
      <c r="R2912" s="3"/>
      <c r="S2912" s="3"/>
      <c r="T2912" s="31"/>
      <c r="U2912" s="32"/>
      <c r="V2912" s="3"/>
      <c r="W2912" s="3"/>
      <c r="X2912" s="3"/>
      <c r="Y2912" s="3"/>
      <c r="Z2912" s="3"/>
      <c r="AA2912" s="3"/>
      <c r="AB2912" s="3"/>
      <c r="AC2912" s="3"/>
    </row>
    <row r="2913" spans="9:48" x14ac:dyDescent="0.3">
      <c r="J2913" s="3"/>
      <c r="K2913" s="31"/>
      <c r="L2913" s="32"/>
      <c r="M2913" s="3"/>
      <c r="N2913" s="3"/>
      <c r="O2913" s="31"/>
      <c r="P2913" s="32"/>
      <c r="Q2913" s="3"/>
      <c r="R2913" s="3"/>
      <c r="S2913" s="3"/>
      <c r="T2913" s="31"/>
      <c r="U2913" s="32"/>
      <c r="V2913" s="3"/>
      <c r="W2913" s="3"/>
      <c r="X2913" s="3"/>
      <c r="Y2913" s="3"/>
      <c r="Z2913" s="3"/>
      <c r="AA2913" s="3"/>
      <c r="AB2913" s="3"/>
      <c r="AC2913" s="3"/>
    </row>
    <row r="2914" spans="9:48" x14ac:dyDescent="0.3">
      <c r="J2914" s="3"/>
      <c r="K2914" s="31"/>
      <c r="L2914" s="32"/>
      <c r="M2914" s="3"/>
      <c r="N2914" s="3"/>
      <c r="O2914" s="3"/>
      <c r="P2914" s="3"/>
      <c r="Q2914" s="3"/>
      <c r="R2914" s="3"/>
      <c r="S2914" s="3"/>
      <c r="T2914" s="31"/>
      <c r="U2914" s="32"/>
      <c r="V2914" s="3"/>
      <c r="W2914" s="3"/>
      <c r="X2914" s="3"/>
      <c r="Y2914" s="3"/>
      <c r="Z2914" s="3"/>
      <c r="AA2914" s="3"/>
      <c r="AB2914" s="3"/>
      <c r="AC2914" s="3"/>
    </row>
    <row r="2915" spans="9:48" x14ac:dyDescent="0.3">
      <c r="J2915" s="3"/>
      <c r="K2915" s="31"/>
      <c r="L2915" s="32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</row>
    <row r="2916" spans="9:48" x14ac:dyDescent="0.3">
      <c r="J2916" s="3"/>
      <c r="K2916" s="31"/>
      <c r="L2916" s="32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</row>
    <row r="2917" spans="9:48" x14ac:dyDescent="0.3">
      <c r="J2917" s="3"/>
      <c r="K2917" s="31"/>
      <c r="L2917" s="32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</row>
    <row r="2918" spans="9:48" x14ac:dyDescent="0.3">
      <c r="J2918" s="3"/>
      <c r="K2918" s="31"/>
      <c r="L2918" s="32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</row>
    <row r="2919" spans="9:48" x14ac:dyDescent="0.3"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</row>
    <row r="2920" spans="9:48" x14ac:dyDescent="0.3"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</row>
    <row r="2921" spans="9:48" x14ac:dyDescent="0.3"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</row>
    <row r="2922" spans="9:48" ht="79.2" customHeight="1" x14ac:dyDescent="0.3">
      <c r="I2922" s="28"/>
      <c r="J2922" s="33"/>
      <c r="K2922" s="33"/>
      <c r="L2922" s="33"/>
      <c r="M2922" s="43"/>
      <c r="N2922" s="44"/>
      <c r="O2922" s="33"/>
      <c r="P2922" s="33"/>
      <c r="Q2922" s="43"/>
      <c r="R2922" s="45"/>
      <c r="S2922" s="45"/>
      <c r="T2922" s="33"/>
      <c r="U2922" s="33"/>
      <c r="V2922" s="33"/>
      <c r="W2922" s="33"/>
      <c r="X2922" s="33"/>
      <c r="Y2922" s="33"/>
      <c r="Z2922" s="34"/>
      <c r="AA2922" s="35"/>
      <c r="AB2922" s="36"/>
      <c r="AC2922" s="33"/>
      <c r="AD2922" s="28"/>
      <c r="AE2922" s="28"/>
      <c r="AF2922" s="28"/>
      <c r="AG2922" s="28"/>
      <c r="AH2922" s="28"/>
      <c r="AI2922" s="28"/>
      <c r="AJ2922" s="28"/>
      <c r="AK2922" s="28"/>
      <c r="AL2922" s="28"/>
      <c r="AM2922" s="28"/>
      <c r="AN2922" s="28"/>
      <c r="AO2922" s="28"/>
      <c r="AP2922" s="28"/>
      <c r="AQ2922" s="28"/>
      <c r="AR2922" s="28"/>
      <c r="AS2922" s="28"/>
      <c r="AT2922" s="28"/>
      <c r="AU2922" s="28"/>
      <c r="AV2922" s="28"/>
    </row>
    <row r="2923" spans="9:48" ht="79.2" customHeight="1" x14ac:dyDescent="0.85">
      <c r="I2923" s="28"/>
      <c r="J2923" s="33"/>
      <c r="K2923" s="40"/>
      <c r="L2923" s="42"/>
      <c r="M2923" s="33"/>
      <c r="N2923" s="33"/>
      <c r="O2923" s="40"/>
      <c r="P2923" s="41"/>
      <c r="Q2923" s="38"/>
      <c r="R2923" s="38"/>
      <c r="S2923" s="38"/>
      <c r="T2923" s="40"/>
      <c r="U2923" s="41"/>
      <c r="V2923" s="33"/>
      <c r="W2923" s="33"/>
      <c r="X2923" s="33"/>
      <c r="Y2923" s="33"/>
      <c r="Z2923" s="34"/>
      <c r="AA2923" s="35"/>
      <c r="AB2923" s="37"/>
      <c r="AC2923" s="33"/>
      <c r="AD2923" s="28"/>
      <c r="AE2923" s="28"/>
      <c r="AF2923" s="28"/>
      <c r="AG2923" s="28"/>
      <c r="AH2923" s="28"/>
      <c r="AI2923" s="28"/>
      <c r="AJ2923" s="28"/>
      <c r="AK2923" s="28"/>
      <c r="AL2923" s="28"/>
      <c r="AM2923" s="28"/>
      <c r="AN2923" s="28"/>
      <c r="AO2923" s="28"/>
      <c r="AP2923" s="28"/>
      <c r="AQ2923" s="28"/>
      <c r="AR2923" s="28"/>
      <c r="AS2923" s="28"/>
      <c r="AT2923" s="28"/>
      <c r="AU2923" s="28"/>
      <c r="AV2923" s="28"/>
    </row>
    <row r="2924" spans="9:48" x14ac:dyDescent="0.3"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</row>
    <row r="2925" spans="9:48" x14ac:dyDescent="0.3"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</row>
    <row r="2926" spans="9:48" x14ac:dyDescent="0.3"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</row>
    <row r="2927" spans="9:48" x14ac:dyDescent="0.3"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</row>
    <row r="2928" spans="9:48" x14ac:dyDescent="0.3"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</row>
    <row r="2929" spans="10:29" x14ac:dyDescent="0.3"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</row>
  </sheetData>
  <mergeCells count="39">
    <mergeCell ref="AH114:AI114"/>
    <mergeCell ref="AJ115:AK115"/>
    <mergeCell ref="AH169:AI169"/>
    <mergeCell ref="AJ170:AK170"/>
    <mergeCell ref="X52:Y52"/>
    <mergeCell ref="Z51:AA51"/>
    <mergeCell ref="AL51:AM51"/>
    <mergeCell ref="AN52:AO52"/>
    <mergeCell ref="AQ52:AR52"/>
    <mergeCell ref="AB52:AC52"/>
    <mergeCell ref="AD51:AE51"/>
    <mergeCell ref="AF52:AG52"/>
    <mergeCell ref="AH51:AI51"/>
    <mergeCell ref="AJ52:AK52"/>
    <mergeCell ref="K5:L5"/>
    <mergeCell ref="N52:O52"/>
    <mergeCell ref="P51:S51"/>
    <mergeCell ref="T52:U52"/>
    <mergeCell ref="V51:W51"/>
    <mergeCell ref="BJ153:BK153"/>
    <mergeCell ref="K2923:L2923"/>
    <mergeCell ref="M2922:N2922"/>
    <mergeCell ref="O2923:P2923"/>
    <mergeCell ref="Q2922:S2922"/>
    <mergeCell ref="T2923:U2923"/>
    <mergeCell ref="AD114:AE114"/>
    <mergeCell ref="AF115:AG115"/>
    <mergeCell ref="T170:U170"/>
    <mergeCell ref="V169:W169"/>
    <mergeCell ref="X170:Y170"/>
    <mergeCell ref="Z169:AA169"/>
    <mergeCell ref="AB170:AC170"/>
    <mergeCell ref="AD169:AE169"/>
    <mergeCell ref="AF170:AG170"/>
    <mergeCell ref="T115:U115"/>
    <mergeCell ref="V114:W114"/>
    <mergeCell ref="X115:Y115"/>
    <mergeCell ref="Z114:AA114"/>
    <mergeCell ref="AB115:AC115"/>
  </mergeCells>
  <pageMargins left="0" right="0" top="0" bottom="0" header="0" footer="0"/>
  <pageSetup paperSize="5" scale="10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autoPict="0" r:id="rId5">
            <anchor moveWithCells="1">
              <from>
                <xdr:col>17</xdr:col>
                <xdr:colOff>2385060</xdr:colOff>
                <xdr:row>19</xdr:row>
                <xdr:rowOff>441960</xdr:rowOff>
              </from>
              <to>
                <xdr:col>20</xdr:col>
                <xdr:colOff>891540</xdr:colOff>
                <xdr:row>24</xdr:row>
                <xdr:rowOff>358140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9A45-C26C-4B07-AEDB-34EE9550F8D3}">
  <sheetPr codeName="Feuil2"/>
  <dimension ref="A1:AD15"/>
  <sheetViews>
    <sheetView workbookViewId="0">
      <selection activeCell="N13" sqref="N13"/>
    </sheetView>
  </sheetViews>
  <sheetFormatPr baseColWidth="10" defaultRowHeight="14.4" x14ac:dyDescent="0.3"/>
  <cols>
    <col min="1" max="1" width="16.109375" customWidth="1"/>
    <col min="2" max="2" width="26.21875" customWidth="1"/>
    <col min="3" max="3" width="1.5546875" customWidth="1"/>
    <col min="4" max="4" width="1.44140625" customWidth="1"/>
    <col min="5" max="5" width="20.33203125" customWidth="1"/>
    <col min="6" max="6" width="11.77734375" customWidth="1"/>
    <col min="7" max="7" width="1.6640625" customWidth="1"/>
    <col min="8" max="8" width="16.6640625" customWidth="1"/>
    <col min="9" max="9" width="16.21875" customWidth="1"/>
    <col min="10" max="10" width="10.44140625" customWidth="1"/>
    <col min="11" max="11" width="2.44140625" customWidth="1"/>
    <col min="12" max="12" width="20.21875" customWidth="1"/>
    <col min="13" max="13" width="10.109375" customWidth="1"/>
    <col min="14" max="14" width="15.6640625" customWidth="1"/>
    <col min="22" max="22" width="17.33203125" customWidth="1"/>
    <col min="24" max="24" width="2.21875" customWidth="1"/>
    <col min="25" max="25" width="17.21875" customWidth="1"/>
    <col min="26" max="26" width="15.88671875" customWidth="1"/>
    <col min="28" max="28" width="1.77734375" customWidth="1"/>
    <col min="29" max="29" width="20" style="17" customWidth="1"/>
    <col min="30" max="30" width="7.5546875" style="18" customWidth="1"/>
    <col min="31" max="31" width="16.5546875" customWidth="1"/>
  </cols>
  <sheetData>
    <row r="1" spans="1:14" x14ac:dyDescent="0.3">
      <c r="A1" s="11" t="s">
        <v>53</v>
      </c>
      <c r="B1" s="12" t="s">
        <v>54</v>
      </c>
      <c r="E1" s="13" t="s">
        <v>55</v>
      </c>
      <c r="F1" s="13" t="s">
        <v>56</v>
      </c>
      <c r="H1" s="14" t="s">
        <v>57</v>
      </c>
      <c r="I1" s="14" t="s">
        <v>58</v>
      </c>
      <c r="J1" s="14" t="s">
        <v>59</v>
      </c>
      <c r="K1" s="15"/>
      <c r="L1" s="16" t="s">
        <v>60</v>
      </c>
      <c r="M1" s="16" t="s">
        <v>61</v>
      </c>
      <c r="N1" s="16" t="s">
        <v>62</v>
      </c>
    </row>
    <row r="2" spans="1:14" x14ac:dyDescent="0.3">
      <c r="A2" s="19" t="s">
        <v>63</v>
      </c>
      <c r="B2" s="10">
        <f>(650+1300+1450+800)/4</f>
        <v>1050</v>
      </c>
      <c r="E2" s="20" t="s">
        <v>46</v>
      </c>
      <c r="F2" s="21">
        <f xml:space="preserve"> 4*5*2*50</f>
        <v>2000</v>
      </c>
      <c r="H2" s="10" t="s">
        <v>64</v>
      </c>
      <c r="I2" s="9">
        <v>2</v>
      </c>
      <c r="J2" s="9"/>
      <c r="L2" s="22" t="s">
        <v>65</v>
      </c>
      <c r="M2" s="23">
        <v>3</v>
      </c>
      <c r="N2" s="24"/>
    </row>
    <row r="3" spans="1:14" x14ac:dyDescent="0.3">
      <c r="A3" s="19" t="s">
        <v>66</v>
      </c>
      <c r="B3" s="10">
        <f>(1300+175+800+800+2175+2800)/6</f>
        <v>1341.6666666666667</v>
      </c>
      <c r="E3" s="25" t="s">
        <v>67</v>
      </c>
      <c r="F3" s="9">
        <f>4*5*2*50</f>
        <v>2000</v>
      </c>
      <c r="H3" s="10" t="s">
        <v>68</v>
      </c>
      <c r="I3" s="9">
        <v>1</v>
      </c>
      <c r="J3" s="9"/>
      <c r="L3" s="25" t="s">
        <v>69</v>
      </c>
      <c r="M3" s="26">
        <v>7.66</v>
      </c>
      <c r="N3" s="10" t="s">
        <v>70</v>
      </c>
    </row>
    <row r="4" spans="1:14" x14ac:dyDescent="0.3">
      <c r="A4" s="19" t="s">
        <v>71</v>
      </c>
      <c r="B4" s="10">
        <f>(2400+2175+2800)/3</f>
        <v>2458.3333333333335</v>
      </c>
      <c r="E4" s="25" t="s">
        <v>45</v>
      </c>
      <c r="F4" s="9">
        <f>8*5*2*50</f>
        <v>4000</v>
      </c>
      <c r="H4" s="10" t="s">
        <v>72</v>
      </c>
      <c r="I4" s="9">
        <v>5</v>
      </c>
      <c r="J4" s="9">
        <f>400+400+350+350</f>
        <v>1500</v>
      </c>
      <c r="L4" s="25" t="s">
        <v>73</v>
      </c>
      <c r="M4" s="26">
        <v>5.75</v>
      </c>
      <c r="N4" s="10" t="s">
        <v>74</v>
      </c>
    </row>
    <row r="5" spans="1:14" x14ac:dyDescent="0.3">
      <c r="A5" s="19" t="s">
        <v>46</v>
      </c>
      <c r="B5" s="10">
        <f>(2600+2700+1200)/3</f>
        <v>2166.6666666666665</v>
      </c>
      <c r="E5" s="25" t="s">
        <v>48</v>
      </c>
      <c r="F5" s="9">
        <f>6*2*25</f>
        <v>300</v>
      </c>
      <c r="H5" s="10" t="s">
        <v>75</v>
      </c>
      <c r="I5" s="9">
        <v>4</v>
      </c>
      <c r="J5" s="9">
        <f>400+450+450+600</f>
        <v>1900</v>
      </c>
      <c r="L5" s="25" t="s">
        <v>76</v>
      </c>
      <c r="M5" s="26">
        <v>11300</v>
      </c>
      <c r="N5" s="10" t="s">
        <v>77</v>
      </c>
    </row>
    <row r="6" spans="1:14" x14ac:dyDescent="0.3">
      <c r="A6" s="19" t="s">
        <v>51</v>
      </c>
      <c r="B6" s="10">
        <f>1450</f>
        <v>1450</v>
      </c>
      <c r="E6" s="25" t="s">
        <v>51</v>
      </c>
      <c r="F6" s="9">
        <f>2*5*2*25</f>
        <v>500</v>
      </c>
      <c r="H6" s="10" t="s">
        <v>78</v>
      </c>
      <c r="I6" s="9">
        <v>2</v>
      </c>
      <c r="J6" s="9">
        <f>150*2</f>
        <v>300</v>
      </c>
      <c r="L6" s="25" t="s">
        <v>111</v>
      </c>
      <c r="M6" s="26">
        <v>17.920000000000002</v>
      </c>
      <c r="N6" s="10" t="s">
        <v>112</v>
      </c>
    </row>
    <row r="7" spans="1:14" x14ac:dyDescent="0.3">
      <c r="A7" s="19" t="s">
        <v>79</v>
      </c>
      <c r="B7" s="10">
        <f>4630</f>
        <v>4630</v>
      </c>
      <c r="E7" s="20" t="s">
        <v>50</v>
      </c>
      <c r="F7" s="21">
        <f>8*5*2*50</f>
        <v>4000</v>
      </c>
      <c r="H7" s="10" t="s">
        <v>80</v>
      </c>
      <c r="I7" s="9">
        <v>4</v>
      </c>
      <c r="J7" s="9">
        <f>200*4</f>
        <v>800</v>
      </c>
      <c r="L7" s="17"/>
      <c r="M7" s="18"/>
    </row>
    <row r="8" spans="1:14" x14ac:dyDescent="0.3">
      <c r="A8" s="19" t="s">
        <v>49</v>
      </c>
      <c r="B8" s="10">
        <f>2520*1+0*1</f>
        <v>2520</v>
      </c>
      <c r="E8" s="25" t="s">
        <v>47</v>
      </c>
      <c r="F8" s="9">
        <f>8*2*50</f>
        <v>800</v>
      </c>
      <c r="H8" s="10" t="s">
        <v>82</v>
      </c>
      <c r="I8" s="9">
        <v>2</v>
      </c>
      <c r="J8" s="9">
        <f>120*2</f>
        <v>240</v>
      </c>
      <c r="L8" s="17"/>
      <c r="M8" s="18"/>
    </row>
    <row r="9" spans="1:14" x14ac:dyDescent="0.3">
      <c r="A9" s="19" t="s">
        <v>50</v>
      </c>
      <c r="B9" s="10">
        <f>6375</f>
        <v>6375</v>
      </c>
      <c r="E9" s="25" t="s">
        <v>66</v>
      </c>
      <c r="F9" s="9">
        <f>8*2*50</f>
        <v>800</v>
      </c>
      <c r="H9" s="10" t="s">
        <v>83</v>
      </c>
      <c r="I9" s="9">
        <v>1</v>
      </c>
      <c r="J9" s="9">
        <v>2500</v>
      </c>
      <c r="L9" s="17"/>
      <c r="M9" s="18"/>
    </row>
    <row r="10" spans="1:14" x14ac:dyDescent="0.3">
      <c r="A10" s="19" t="s">
        <v>48</v>
      </c>
      <c r="B10" s="10">
        <f>850</f>
        <v>850</v>
      </c>
      <c r="E10" s="25" t="s">
        <v>85</v>
      </c>
      <c r="F10" s="9"/>
      <c r="H10" s="10" t="s">
        <v>84</v>
      </c>
      <c r="I10" s="9">
        <v>7</v>
      </c>
      <c r="J10" s="9">
        <f>350+275+350+350+250+600+200</f>
        <v>2375</v>
      </c>
      <c r="L10" s="17"/>
      <c r="M10" s="18"/>
    </row>
    <row r="11" spans="1:14" x14ac:dyDescent="0.3">
      <c r="A11" s="19" t="s">
        <v>45</v>
      </c>
      <c r="B11" s="10"/>
      <c r="E11" s="25" t="s">
        <v>86</v>
      </c>
      <c r="F11" s="9"/>
      <c r="H11" s="10" t="s">
        <v>81</v>
      </c>
      <c r="I11" s="9">
        <v>1</v>
      </c>
      <c r="J11" s="9">
        <v>1000</v>
      </c>
      <c r="L11" s="17"/>
      <c r="M11" s="18"/>
    </row>
    <row r="12" spans="1:14" x14ac:dyDescent="0.3">
      <c r="A12" s="19" t="s">
        <v>85</v>
      </c>
      <c r="B12" s="10">
        <f>(4100+3000)/2</f>
        <v>3550</v>
      </c>
      <c r="E12" s="25" t="s">
        <v>86</v>
      </c>
      <c r="F12" s="9"/>
      <c r="H12" s="10" t="s">
        <v>85</v>
      </c>
      <c r="I12" s="9">
        <v>1</v>
      </c>
      <c r="J12" s="9">
        <v>600</v>
      </c>
      <c r="L12" s="17"/>
      <c r="M12" s="18"/>
    </row>
    <row r="13" spans="1:14" x14ac:dyDescent="0.3">
      <c r="A13" s="19" t="s">
        <v>86</v>
      </c>
      <c r="B13" s="26">
        <f>0</f>
        <v>0</v>
      </c>
      <c r="E13" s="48" t="s">
        <v>87</v>
      </c>
      <c r="F13" s="49"/>
      <c r="H13" s="10" t="s">
        <v>86</v>
      </c>
      <c r="I13" s="9">
        <v>2</v>
      </c>
      <c r="J13" s="9">
        <f>400*2</f>
        <v>800</v>
      </c>
      <c r="L13" s="17"/>
      <c r="M13" s="18"/>
    </row>
    <row r="14" spans="1:14" x14ac:dyDescent="0.3">
      <c r="A14" s="48" t="s">
        <v>88</v>
      </c>
      <c r="B14" s="48"/>
      <c r="H14" s="48" t="s">
        <v>89</v>
      </c>
      <c r="I14" s="48"/>
      <c r="J14" s="48"/>
      <c r="L14" s="17"/>
      <c r="M14" s="18"/>
    </row>
    <row r="15" spans="1:14" x14ac:dyDescent="0.3">
      <c r="L15" s="17"/>
      <c r="M15" s="18"/>
    </row>
  </sheetData>
  <mergeCells count="3">
    <mergeCell ref="E13:F13"/>
    <mergeCell ref="A14:B14"/>
    <mergeCell ref="H14:J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Current state</vt:lpstr>
      <vt:lpstr>Characteristics</vt:lpstr>
    </vt:vector>
  </TitlesOfParts>
  <Manager/>
  <Company>APTIV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Naciri, Mohamed</dc:creator>
  <cp:keywords/>
  <dc:description/>
  <cp:lastModifiedBy>FATI MAGHRAOUI</cp:lastModifiedBy>
  <cp:revision/>
  <cp:lastPrinted>2026-06-10T17:33:28Z</cp:lastPrinted>
  <dcterms:created xsi:type="dcterms:W3CDTF">2024-06-14T07:11:55Z</dcterms:created>
  <dcterms:modified xsi:type="dcterms:W3CDTF">2026-06-12T19:12:48Z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edc1c9-378e-46d2-aabb-de5286b8cba1_Enabled">
    <vt:lpwstr>true</vt:lpwstr>
  </property>
  <property fmtid="{D5CDD505-2E9C-101B-9397-08002B2CF9AE}" pid="3" name="MSIP_Label_37edc1c9-378e-46d2-aabb-de5286b8cba1_SetDate">
    <vt:lpwstr>2026-02-27T15:59:21Z</vt:lpwstr>
  </property>
  <property fmtid="{D5CDD505-2E9C-101B-9397-08002B2CF9AE}" pid="4" name="MSIP_Label_37edc1c9-378e-46d2-aabb-de5286b8cba1_Method">
    <vt:lpwstr>Privileged</vt:lpwstr>
  </property>
  <property fmtid="{D5CDD505-2E9C-101B-9397-08002B2CF9AE}" pid="5" name="MSIP_Label_37edc1c9-378e-46d2-aabb-de5286b8cba1_Name">
    <vt:lpwstr>Public</vt:lpwstr>
  </property>
  <property fmtid="{D5CDD505-2E9C-101B-9397-08002B2CF9AE}" pid="6" name="MSIP_Label_37edc1c9-378e-46d2-aabb-de5286b8cba1_SiteId">
    <vt:lpwstr>6b1311e5-123f-49db-acdf-8847c2d00bed</vt:lpwstr>
  </property>
  <property fmtid="{D5CDD505-2E9C-101B-9397-08002B2CF9AE}" pid="7" name="MSIP_Label_37edc1c9-378e-46d2-aabb-de5286b8cba1_ActionId">
    <vt:lpwstr>70a0c72c-9ec4-4376-a3c4-ef1518c6d5b8</vt:lpwstr>
  </property>
  <property fmtid="{D5CDD505-2E9C-101B-9397-08002B2CF9AE}" pid="8" name="MSIP_Label_37edc1c9-378e-46d2-aabb-de5286b8cba1_ContentBits">
    <vt:lpwstr>0</vt:lpwstr>
  </property>
  <property fmtid="{D5CDD505-2E9C-101B-9397-08002B2CF9AE}" pid="9" name="MSIP_Label_37edc1c9-378e-46d2-aabb-de5286b8cba1_Tag">
    <vt:lpwstr>10, 0, 1, 2</vt:lpwstr>
  </property>
</Properties>
</file>